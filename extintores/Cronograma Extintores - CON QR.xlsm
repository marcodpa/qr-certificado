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e-it\Downloads\cerificaciones qr\extintores\"/>
    </mc:Choice>
  </mc:AlternateContent>
  <bookViews>
    <workbookView xWindow="-20610" yWindow="-120" windowWidth="20730" windowHeight="11040"/>
  </bookViews>
  <sheets>
    <sheet name="REGISTRO" sheetId="1" r:id="rId1"/>
    <sheet name="ARNES-CABO DE VIDA" sheetId="3" r:id="rId2"/>
    <sheet name="Hoja1" sheetId="2" r:id="rId3"/>
  </sheets>
  <definedNames>
    <definedName name="_xlnm._FilterDatabase" localSheetId="2" hidden="1">Hoja1!$A$1:$M$339</definedName>
    <definedName name="_xlnm.Print_Area" localSheetId="1">'ARNES-CABO DE VIDA'!$A$1:$K$277</definedName>
    <definedName name="_xlnm.Print_Area" localSheetId="0">REGISTRO!$A$1:$R$344</definedName>
    <definedName name="_xlnm.Print_Titles" localSheetId="1">'ARNES-CABO DE VIDA'!$5:$6</definedName>
    <definedName name="_xlnm.Print_Titles" localSheetId="0">REGISTRO!$5:$6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2">
      <go:sheetsCustomData xmlns:go="http://customooxmlschemas.google.com/" r:id="rId7" roundtripDataChecksum="+tcFL97nJmvnn8nxBKQFK/G9jBFt7JFcfqhGJr1iJrg="/>
    </ext>
  </extLst>
</workbook>
</file>

<file path=xl/calcChain.xml><?xml version="1.0" encoding="utf-8"?>
<calcChain xmlns="http://schemas.openxmlformats.org/spreadsheetml/2006/main">
  <c r="K316" i="2" l="1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F2" i="3" l="1"/>
  <c r="P54" i="1" a="1"/>
  <c r="P301" i="1" a="1"/>
  <c r="P239" i="1" a="1"/>
  <c r="P243" i="1" a="1"/>
  <c r="P244" i="1" a="1"/>
  <c r="P103" i="1" a="1"/>
  <c r="P240" i="1" a="1"/>
  <c r="P102" i="1" a="1"/>
  <c r="P241" i="1" a="1"/>
  <c r="P237" i="1" a="1"/>
  <c r="P238" i="1" a="1"/>
  <c r="P242" i="1" a="1"/>
  <c r="P56" i="1" a="1"/>
  <c r="P336" i="1" a="1"/>
  <c r="P299" i="1" a="1"/>
  <c r="P337" i="1" a="1"/>
  <c r="P286" i="1" a="1"/>
  <c r="P300" i="1" a="1"/>
  <c r="P32" i="1" a="1"/>
  <c r="P302" i="1" a="1"/>
  <c r="P280" i="1" a="1"/>
  <c r="P334" i="1" a="1"/>
  <c r="P285" i="1" a="1"/>
  <c r="P297" i="1" a="1"/>
  <c r="P298" i="1" a="1"/>
  <c r="P277" i="1" a="1"/>
  <c r="P278" i="1" a="1"/>
  <c r="P279" i="1" a="1"/>
  <c r="J300" i="3" a="1"/>
  <c r="J296" i="3" a="1"/>
  <c r="J292" i="3" a="1"/>
  <c r="J288" i="3" a="1"/>
  <c r="J284" i="3" a="1"/>
  <c r="J280" i="3" a="1"/>
  <c r="J25" i="3" a="1"/>
  <c r="J21" i="3" a="1"/>
  <c r="J17" i="3" a="1"/>
  <c r="J299" i="3" a="1"/>
  <c r="J295" i="3" a="1"/>
  <c r="J291" i="3" a="1"/>
  <c r="J287" i="3" a="1"/>
  <c r="J283" i="3" a="1"/>
  <c r="J279" i="3" a="1"/>
  <c r="J24" i="3" a="1"/>
  <c r="J20" i="3" a="1"/>
  <c r="J16" i="3" a="1"/>
  <c r="J294" i="3" a="1"/>
  <c r="J286" i="3" a="1"/>
  <c r="J27" i="3" a="1"/>
  <c r="J19" i="3" a="1"/>
  <c r="J298" i="3" a="1"/>
  <c r="J297" i="3" a="1"/>
  <c r="J293" i="3" a="1"/>
  <c r="J289" i="3" a="1"/>
  <c r="J285" i="3" a="1"/>
  <c r="J281" i="3" a="1"/>
  <c r="J26" i="3" a="1"/>
  <c r="J22" i="3" a="1"/>
  <c r="J18" i="3" a="1"/>
  <c r="J7" i="3" a="1"/>
  <c r="J290" i="3" a="1"/>
  <c r="J282" i="3" a="1"/>
  <c r="J23" i="3" a="1"/>
  <c r="J9" i="3" a="1"/>
  <c r="J9" i="3" l="1"/>
  <c r="J23" i="3"/>
  <c r="J282" i="3"/>
  <c r="J290" i="3"/>
  <c r="J7" i="3"/>
  <c r="J18" i="3"/>
  <c r="J22" i="3"/>
  <c r="J26" i="3"/>
  <c r="J281" i="3"/>
  <c r="J285" i="3"/>
  <c r="J289" i="3"/>
  <c r="J293" i="3"/>
  <c r="J297" i="3"/>
  <c r="J298" i="3"/>
  <c r="J19" i="3"/>
  <c r="J27" i="3"/>
  <c r="J286" i="3"/>
  <c r="J294" i="3"/>
  <c r="J16" i="3"/>
  <c r="J20" i="3"/>
  <c r="J24" i="3"/>
  <c r="J279" i="3"/>
  <c r="J283" i="3"/>
  <c r="J287" i="3"/>
  <c r="J291" i="3"/>
  <c r="J295" i="3"/>
  <c r="J299" i="3"/>
  <c r="J17" i="3"/>
  <c r="J21" i="3"/>
  <c r="J25" i="3"/>
  <c r="J280" i="3"/>
  <c r="J284" i="3"/>
  <c r="J288" i="3"/>
  <c r="J292" i="3"/>
  <c r="J296" i="3"/>
  <c r="J300" i="3"/>
  <c r="P279" i="1"/>
  <c r="P278" i="1"/>
  <c r="P277" i="1"/>
  <c r="P298" i="1"/>
  <c r="P297" i="1"/>
  <c r="P285" i="1"/>
  <c r="P334" i="1"/>
  <c r="P280" i="1"/>
  <c r="P302" i="1"/>
  <c r="P32" i="1"/>
  <c r="P300" i="1"/>
  <c r="P286" i="1"/>
  <c r="P337" i="1"/>
  <c r="P299" i="1"/>
  <c r="P336" i="1"/>
  <c r="P56" i="1"/>
  <c r="P242" i="1"/>
  <c r="P238" i="1"/>
  <c r="P237" i="1"/>
  <c r="P241" i="1"/>
  <c r="P102" i="1"/>
  <c r="P240" i="1"/>
  <c r="P103" i="1"/>
  <c r="P244" i="1"/>
  <c r="P243" i="1"/>
  <c r="P239" i="1"/>
  <c r="P301" i="1"/>
  <c r="P54" i="1"/>
  <c r="P236" i="1" a="1"/>
  <c r="P235" i="1" a="1"/>
  <c r="P235" i="1" l="1"/>
  <c r="P236" i="1"/>
  <c r="P111" i="1" a="1"/>
  <c r="P117" i="1" a="1"/>
  <c r="P113" i="1" a="1"/>
  <c r="P114" i="1" a="1"/>
  <c r="P112" i="1" a="1"/>
  <c r="P115" i="1" a="1"/>
  <c r="P120" i="1" a="1"/>
  <c r="P121" i="1" a="1"/>
  <c r="P121" i="1" l="1"/>
  <c r="P120" i="1"/>
  <c r="P115" i="1"/>
  <c r="P112" i="1"/>
  <c r="P114" i="1"/>
  <c r="P113" i="1"/>
  <c r="P117" i="1"/>
  <c r="P111" i="1"/>
  <c r="P97" i="1" a="1"/>
  <c r="P213" i="1" a="1"/>
  <c r="P215" i="1" a="1"/>
  <c r="P209" i="1" a="1"/>
  <c r="P210" i="1" a="1"/>
  <c r="P210" i="1" l="1"/>
  <c r="P209" i="1"/>
  <c r="P215" i="1"/>
  <c r="P213" i="1"/>
  <c r="P97" i="1"/>
  <c r="P30" i="1" a="1"/>
  <c r="P29" i="1" a="1"/>
  <c r="P31" i="1" a="1"/>
  <c r="P31" i="1" l="1"/>
  <c r="P29" i="1"/>
  <c r="P30" i="1"/>
  <c r="P231" i="1" a="1"/>
  <c r="P283" i="1" a="1"/>
  <c r="P295" i="1" a="1"/>
  <c r="P292" i="1" a="1"/>
  <c r="P232" i="1" a="1"/>
  <c r="P284" i="1" a="1"/>
  <c r="P290" i="1" a="1"/>
  <c r="P230" i="1" a="1"/>
  <c r="P287" i="1" a="1"/>
  <c r="P282" i="1" a="1"/>
  <c r="P344" i="1" a="1"/>
  <c r="P344" i="1" l="1"/>
  <c r="P282" i="1"/>
  <c r="P287" i="1"/>
  <c r="P230" i="1"/>
  <c r="P290" i="1"/>
  <c r="P284" i="1"/>
  <c r="P232" i="1"/>
  <c r="P292" i="1"/>
  <c r="P295" i="1"/>
  <c r="P283" i="1"/>
  <c r="P231" i="1"/>
  <c r="P57" i="1" a="1"/>
  <c r="P320" i="1" a="1"/>
  <c r="P263" i="1" a="1"/>
  <c r="P263" i="1" l="1"/>
  <c r="P320" i="1"/>
  <c r="P57" i="1"/>
  <c r="P87" i="1" a="1"/>
  <c r="P62" i="1" a="1"/>
  <c r="P62" i="1" l="1"/>
  <c r="P87" i="1"/>
  <c r="P140" i="1" a="1"/>
  <c r="P144" i="1" a="1"/>
  <c r="P148" i="1" a="1"/>
  <c r="P126" i="1" a="1"/>
  <c r="P130" i="1" a="1"/>
  <c r="P134" i="1" a="1"/>
  <c r="P133" i="1" a="1"/>
  <c r="P141" i="1" a="1"/>
  <c r="P145" i="1" a="1"/>
  <c r="P149" i="1" a="1"/>
  <c r="P127" i="1" a="1"/>
  <c r="P131" i="1" a="1"/>
  <c r="P135" i="1" a="1"/>
  <c r="P129" i="1" a="1"/>
  <c r="P138" i="1" a="1"/>
  <c r="P142" i="1" a="1"/>
  <c r="P146" i="1" a="1"/>
  <c r="P150" i="1" a="1"/>
  <c r="P128" i="1" a="1"/>
  <c r="P132" i="1" a="1"/>
  <c r="P136" i="1" a="1"/>
  <c r="P139" i="1" a="1"/>
  <c r="P143" i="1" a="1"/>
  <c r="P147" i="1" a="1"/>
  <c r="P125" i="1" a="1"/>
  <c r="P124" i="1" a="1"/>
  <c r="P124" i="1" l="1"/>
  <c r="P125" i="1"/>
  <c r="P147" i="1"/>
  <c r="P143" i="1"/>
  <c r="P139" i="1"/>
  <c r="P136" i="1"/>
  <c r="P132" i="1"/>
  <c r="P128" i="1"/>
  <c r="P150" i="1"/>
  <c r="P146" i="1"/>
  <c r="P142" i="1"/>
  <c r="P138" i="1"/>
  <c r="P129" i="1"/>
  <c r="P135" i="1"/>
  <c r="P131" i="1"/>
  <c r="P127" i="1"/>
  <c r="P149" i="1"/>
  <c r="P145" i="1"/>
  <c r="P141" i="1"/>
  <c r="P133" i="1"/>
  <c r="P134" i="1"/>
  <c r="P130" i="1"/>
  <c r="P126" i="1"/>
  <c r="P148" i="1"/>
  <c r="P144" i="1"/>
  <c r="P140" i="1"/>
  <c r="P256" i="1" a="1"/>
  <c r="P25" i="1" a="1"/>
  <c r="P25" i="1" l="1"/>
  <c r="P256" i="1"/>
  <c r="P234" i="1" a="1"/>
  <c r="P338" i="1" a="1"/>
  <c r="P233" i="1" a="1"/>
  <c r="P233" i="1" l="1"/>
  <c r="P338" i="1"/>
  <c r="P234" i="1"/>
  <c r="P137" i="1" a="1"/>
  <c r="P154" i="1" a="1"/>
  <c r="P158" i="1" a="1"/>
  <c r="P162" i="1" a="1"/>
  <c r="P166" i="1" a="1"/>
  <c r="P170" i="1" a="1"/>
  <c r="P174" i="1" a="1"/>
  <c r="P178" i="1" a="1"/>
  <c r="P151" i="1" a="1"/>
  <c r="P155" i="1" a="1"/>
  <c r="P159" i="1" a="1"/>
  <c r="P163" i="1" a="1"/>
  <c r="P167" i="1" a="1"/>
  <c r="P171" i="1" a="1"/>
  <c r="P175" i="1" a="1"/>
  <c r="P179" i="1" a="1"/>
  <c r="P183" i="1" a="1"/>
  <c r="P152" i="1" a="1"/>
  <c r="P156" i="1" a="1"/>
  <c r="P160" i="1" a="1"/>
  <c r="P164" i="1" a="1"/>
  <c r="P168" i="1" a="1"/>
  <c r="P172" i="1" a="1"/>
  <c r="P176" i="1" a="1"/>
  <c r="P180" i="1" a="1"/>
  <c r="P184" i="1" a="1"/>
  <c r="P182" i="1" a="1"/>
  <c r="P186" i="1" a="1"/>
  <c r="P153" i="1" a="1"/>
  <c r="P157" i="1" a="1"/>
  <c r="P161" i="1" a="1"/>
  <c r="P165" i="1" a="1"/>
  <c r="P169" i="1" a="1"/>
  <c r="P173" i="1" a="1"/>
  <c r="P177" i="1" a="1"/>
  <c r="P181" i="1" a="1"/>
  <c r="P185" i="1" a="1"/>
  <c r="P185" i="1" l="1"/>
  <c r="P181" i="1"/>
  <c r="P177" i="1"/>
  <c r="P173" i="1"/>
  <c r="P169" i="1"/>
  <c r="P165" i="1"/>
  <c r="P161" i="1"/>
  <c r="P157" i="1"/>
  <c r="P153" i="1"/>
  <c r="P186" i="1"/>
  <c r="P182" i="1"/>
  <c r="P184" i="1"/>
  <c r="P180" i="1"/>
  <c r="P176" i="1"/>
  <c r="P172" i="1"/>
  <c r="P168" i="1"/>
  <c r="P164" i="1"/>
  <c r="P160" i="1"/>
  <c r="P156" i="1"/>
  <c r="P152" i="1"/>
  <c r="P183" i="1"/>
  <c r="P179" i="1"/>
  <c r="P175" i="1"/>
  <c r="P171" i="1"/>
  <c r="P167" i="1"/>
  <c r="P163" i="1"/>
  <c r="P159" i="1"/>
  <c r="P155" i="1"/>
  <c r="P151" i="1"/>
  <c r="P178" i="1"/>
  <c r="P174" i="1"/>
  <c r="P170" i="1"/>
  <c r="P166" i="1"/>
  <c r="P162" i="1"/>
  <c r="P158" i="1"/>
  <c r="P154" i="1"/>
  <c r="P137" i="1"/>
  <c r="P332" i="1" a="1"/>
  <c r="P332" i="1" l="1"/>
  <c r="P330" i="1" a="1"/>
  <c r="P330" i="1" l="1"/>
  <c r="H2" i="1"/>
  <c r="P64" i="1" a="1"/>
  <c r="Q101" i="1" a="1"/>
  <c r="Q101" i="1" l="1"/>
  <c r="P64" i="1"/>
  <c r="Q102" i="1" a="1"/>
  <c r="Q242" i="1" a="1"/>
  <c r="Q244" i="1" a="1"/>
  <c r="Q286" i="1" a="1"/>
  <c r="Q302" i="1" a="1"/>
  <c r="Q280" i="1" a="1"/>
  <c r="Q334" i="1" a="1"/>
  <c r="Q29" i="1" a="1"/>
  <c r="Q111" i="1" a="1"/>
  <c r="Q117" i="1" a="1"/>
  <c r="Q97" i="1" a="1"/>
  <c r="Q287" i="1" a="1"/>
  <c r="Q290" i="1" a="1"/>
  <c r="Q284" i="1" a="1"/>
  <c r="Q233" i="1" a="1"/>
  <c r="Q180" i="1" a="1"/>
  <c r="Q181" i="1" a="1"/>
  <c r="Q216" i="1" a="1"/>
  <c r="Q192" i="1" a="1"/>
  <c r="Q197" i="1" a="1"/>
  <c r="Q196" i="1" a="1"/>
  <c r="Q207" i="1" a="1"/>
  <c r="Q200" i="1" a="1"/>
  <c r="Q199" i="1" a="1"/>
  <c r="P77" i="1" a="1"/>
  <c r="P50" i="1" a="1"/>
  <c r="P43" i="1" a="1"/>
  <c r="P44" i="1" a="1"/>
  <c r="Q330" i="1" a="1"/>
  <c r="Q208" i="1" a="1"/>
  <c r="P40" i="1" a="1"/>
  <c r="Q103" i="1" a="1"/>
  <c r="Q241" i="1" a="1"/>
  <c r="Q243" i="1" a="1"/>
  <c r="Q336" i="1" a="1"/>
  <c r="Q32" i="1" a="1"/>
  <c r="Q279" i="1" a="1"/>
  <c r="Q298" i="1" a="1"/>
  <c r="Q215" i="1" a="1"/>
  <c r="Q113" i="1" a="1"/>
  <c r="Q115" i="1" a="1"/>
  <c r="Q235" i="1" a="1"/>
  <c r="Q295" i="1" a="1"/>
  <c r="Q320" i="1" a="1"/>
  <c r="Q87" i="1" a="1"/>
  <c r="Q234" i="1" a="1"/>
  <c r="Q182" i="1" a="1"/>
  <c r="Q183" i="1" a="1"/>
  <c r="Q179" i="1" a="1"/>
  <c r="Q202" i="1" a="1"/>
  <c r="Q201" i="1" a="1"/>
  <c r="Q188" i="1" a="1"/>
  <c r="Q193" i="1" a="1"/>
  <c r="Q204" i="1" a="1"/>
  <c r="Q64" i="1" a="1"/>
  <c r="P76" i="1" a="1"/>
  <c r="P49" i="1" a="1"/>
  <c r="P42" i="1" a="1"/>
  <c r="Q206" i="1" a="1"/>
  <c r="Q194" i="1" a="1"/>
  <c r="P46" i="1" a="1"/>
  <c r="Q301" i="1" a="1"/>
  <c r="Q238" i="1" a="1"/>
  <c r="Q239" i="1" a="1"/>
  <c r="Q331" i="1" a="1"/>
  <c r="Q299" i="1" a="1"/>
  <c r="Q277" i="1" a="1"/>
  <c r="Q285" i="1" a="1"/>
  <c r="Q213" i="1" a="1"/>
  <c r="Q31" i="1" a="1"/>
  <c r="Q112" i="1" a="1"/>
  <c r="Q121" i="1" a="1"/>
  <c r="Q209" i="1" a="1"/>
  <c r="Q292" i="1" a="1"/>
  <c r="Q57" i="1" a="1"/>
  <c r="Q25" i="1" a="1"/>
  <c r="Q338" i="1" a="1"/>
  <c r="Q184" i="1" a="1"/>
  <c r="Q185" i="1" a="1"/>
  <c r="Q198" i="1" a="1"/>
  <c r="P47" i="1" a="1"/>
  <c r="Q54" i="1" a="1"/>
  <c r="Q237" i="1" a="1"/>
  <c r="Q240" i="1" a="1"/>
  <c r="Q56" i="1" a="1"/>
  <c r="Q300" i="1" a="1"/>
  <c r="Q278" i="1" a="1"/>
  <c r="Q297" i="1" a="1"/>
  <c r="Q236" i="1" a="1"/>
  <c r="Q30" i="1" a="1"/>
  <c r="Q114" i="1" a="1"/>
  <c r="Q120" i="1" a="1"/>
  <c r="Q210" i="1" a="1"/>
  <c r="Q263" i="1" a="1"/>
  <c r="Q256" i="1" a="1"/>
  <c r="Q232" i="1" a="1"/>
  <c r="Q332" i="1" a="1"/>
  <c r="Q186" i="1" a="1"/>
  <c r="Q177" i="1" a="1"/>
  <c r="Q190" i="1" a="1"/>
  <c r="Q191" i="1" a="1"/>
  <c r="Q187" i="1" a="1"/>
  <c r="Q203" i="1" a="1"/>
  <c r="Q189" i="1" a="1"/>
  <c r="Q195" i="1" a="1"/>
  <c r="Q20" i="1" a="1"/>
  <c r="P51" i="1" a="1"/>
  <c r="P45" i="1" a="1"/>
  <c r="P41" i="1" a="1"/>
  <c r="P48" i="1" a="1"/>
  <c r="Q205" i="1" a="1"/>
  <c r="Q62" i="1" a="1"/>
  <c r="Q62" i="1" l="1"/>
  <c r="Q205" i="1"/>
  <c r="P48" i="1"/>
  <c r="P41" i="1"/>
  <c r="P45" i="1"/>
  <c r="P51" i="1"/>
  <c r="Q20" i="1"/>
  <c r="Q195" i="1"/>
  <c r="Q189" i="1"/>
  <c r="Q203" i="1"/>
  <c r="Q187" i="1"/>
  <c r="Q191" i="1"/>
  <c r="Q190" i="1"/>
  <c r="Q177" i="1"/>
  <c r="Q186" i="1"/>
  <c r="Q332" i="1"/>
  <c r="Q232" i="1"/>
  <c r="Q256" i="1"/>
  <c r="Q263" i="1"/>
  <c r="Q210" i="1"/>
  <c r="Q120" i="1"/>
  <c r="Q114" i="1"/>
  <c r="Q30" i="1"/>
  <c r="Q236" i="1"/>
  <c r="Q297" i="1"/>
  <c r="Q278" i="1"/>
  <c r="Q300" i="1"/>
  <c r="Q56" i="1"/>
  <c r="Q240" i="1"/>
  <c r="Q237" i="1"/>
  <c r="Q54" i="1"/>
  <c r="P47" i="1"/>
  <c r="Q198" i="1"/>
  <c r="Q185" i="1"/>
  <c r="Q184" i="1"/>
  <c r="Q338" i="1"/>
  <c r="Q25" i="1"/>
  <c r="Q57" i="1"/>
  <c r="Q292" i="1"/>
  <c r="Q209" i="1"/>
  <c r="Q121" i="1"/>
  <c r="Q112" i="1"/>
  <c r="Q31" i="1"/>
  <c r="Q213" i="1"/>
  <c r="Q285" i="1"/>
  <c r="Q277" i="1"/>
  <c r="Q299" i="1"/>
  <c r="Q331" i="1"/>
  <c r="Q239" i="1"/>
  <c r="Q238" i="1"/>
  <c r="Q301" i="1"/>
  <c r="P46" i="1"/>
  <c r="Q194" i="1"/>
  <c r="Q206" i="1"/>
  <c r="P42" i="1"/>
  <c r="P49" i="1"/>
  <c r="P76" i="1"/>
  <c r="Q64" i="1"/>
  <c r="Q204" i="1"/>
  <c r="Q193" i="1"/>
  <c r="Q188" i="1"/>
  <c r="Q201" i="1"/>
  <c r="Q202" i="1"/>
  <c r="Q179" i="1"/>
  <c r="Q183" i="1"/>
  <c r="Q182" i="1"/>
  <c r="Q234" i="1"/>
  <c r="Q87" i="1"/>
  <c r="Q320" i="1"/>
  <c r="Q295" i="1"/>
  <c r="Q235" i="1"/>
  <c r="Q115" i="1"/>
  <c r="Q113" i="1"/>
  <c r="Q215" i="1"/>
  <c r="Q298" i="1"/>
  <c r="Q279" i="1"/>
  <c r="Q32" i="1"/>
  <c r="Q336" i="1"/>
  <c r="Q243" i="1"/>
  <c r="Q241" i="1"/>
  <c r="Q103" i="1"/>
  <c r="P40" i="1"/>
  <c r="Q208" i="1"/>
  <c r="Q330" i="1"/>
  <c r="P44" i="1"/>
  <c r="P43" i="1"/>
  <c r="P50" i="1"/>
  <c r="P77" i="1"/>
  <c r="Q199" i="1"/>
  <c r="Q200" i="1"/>
  <c r="Q207" i="1"/>
  <c r="Q196" i="1"/>
  <c r="Q197" i="1"/>
  <c r="Q192" i="1"/>
  <c r="Q216" i="1"/>
  <c r="Q181" i="1"/>
  <c r="Q180" i="1"/>
  <c r="Q233" i="1"/>
  <c r="Q284" i="1"/>
  <c r="Q290" i="1"/>
  <c r="Q287" i="1"/>
  <c r="Q97" i="1"/>
  <c r="Q117" i="1"/>
  <c r="Q111" i="1"/>
  <c r="Q29" i="1"/>
  <c r="Q334" i="1"/>
  <c r="Q280" i="1"/>
  <c r="Q302" i="1"/>
  <c r="Q286" i="1"/>
  <c r="Q244" i="1"/>
  <c r="Q242" i="1"/>
  <c r="Q102" i="1"/>
  <c r="Q45" i="1" a="1"/>
  <c r="Q76" i="1" a="1"/>
  <c r="P275" i="1" a="1"/>
  <c r="P276" i="1" a="1"/>
  <c r="Q51" i="1" a="1"/>
  <c r="Q40" i="1" a="1"/>
  <c r="Q43" i="1" a="1"/>
  <c r="Q42" i="1" a="1"/>
  <c r="Q50" i="1" a="1"/>
  <c r="Q49" i="1" a="1"/>
  <c r="Q41" i="1" a="1"/>
  <c r="Q47" i="1" a="1"/>
  <c r="Q46" i="1" a="1"/>
  <c r="Q77" i="1" a="1"/>
  <c r="Q77" i="1" l="1"/>
  <c r="Q46" i="1"/>
  <c r="Q47" i="1"/>
  <c r="Q41" i="1"/>
  <c r="Q49" i="1"/>
  <c r="Q50" i="1"/>
  <c r="Q42" i="1"/>
  <c r="Q43" i="1"/>
  <c r="Q40" i="1"/>
  <c r="Q51" i="1"/>
  <c r="P276" i="1"/>
  <c r="P275" i="1"/>
  <c r="Q76" i="1"/>
  <c r="Q45" i="1"/>
  <c r="P251" i="1" a="1"/>
  <c r="P249" i="1" a="1"/>
  <c r="P247" i="1" a="1"/>
  <c r="Q276" i="1" a="1"/>
  <c r="P250" i="1" a="1"/>
  <c r="Q275" i="1" a="1"/>
  <c r="Q275" i="1" l="1"/>
  <c r="P250" i="1"/>
  <c r="Q276" i="1"/>
  <c r="P247" i="1"/>
  <c r="P249" i="1"/>
  <c r="P251" i="1"/>
  <c r="Q249" i="1" a="1"/>
  <c r="P273" i="1" a="1"/>
  <c r="P61" i="1" a="1"/>
  <c r="Q250" i="1" a="1"/>
  <c r="Q251" i="1" a="1"/>
  <c r="P258" i="1" a="1"/>
  <c r="P271" i="1" a="1"/>
  <c r="P259" i="1" a="1"/>
  <c r="P60" i="1" a="1"/>
  <c r="P59" i="1" a="1"/>
  <c r="Q247" i="1" a="1"/>
  <c r="P274" i="1" a="1"/>
  <c r="P274" i="1" l="1"/>
  <c r="Q247" i="1"/>
  <c r="P59" i="1"/>
  <c r="P60" i="1"/>
  <c r="P259" i="1"/>
  <c r="P271" i="1"/>
  <c r="P258" i="1"/>
  <c r="Q251" i="1"/>
  <c r="Q250" i="1"/>
  <c r="P61" i="1"/>
  <c r="P273" i="1"/>
  <c r="Q249" i="1"/>
  <c r="Q259" i="1" a="1"/>
  <c r="P86" i="1" a="1"/>
  <c r="Q273" i="1" a="1"/>
  <c r="Q271" i="1" a="1"/>
  <c r="Q61" i="1" a="1"/>
  <c r="Q59" i="1" a="1"/>
  <c r="Q258" i="1" a="1"/>
  <c r="Q60" i="1" a="1"/>
  <c r="P272" i="1" a="1"/>
  <c r="P272" i="1" l="1"/>
  <c r="Q60" i="1"/>
  <c r="Q258" i="1"/>
  <c r="Q59" i="1"/>
  <c r="Q61" i="1"/>
  <c r="Q271" i="1"/>
  <c r="Q273" i="1"/>
  <c r="P86" i="1"/>
  <c r="Q259" i="1"/>
  <c r="K2" i="2"/>
  <c r="Q272" i="1" a="1"/>
  <c r="P267" i="1" a="1"/>
  <c r="P269" i="1" a="1"/>
  <c r="P82" i="1" a="1"/>
  <c r="P85" i="1" a="1"/>
  <c r="P91" i="1" a="1"/>
  <c r="P95" i="1" a="1"/>
  <c r="P100" i="1" a="1"/>
  <c r="P108" i="1" a="1"/>
  <c r="P118" i="1" a="1"/>
  <c r="Q124" i="1" a="1"/>
  <c r="Q128" i="1" a="1"/>
  <c r="Q132" i="1" a="1"/>
  <c r="Q136" i="1" a="1"/>
  <c r="Q140" i="1" a="1"/>
  <c r="Q144" i="1" a="1"/>
  <c r="Q148" i="1" a="1"/>
  <c r="Q151" i="1" a="1"/>
  <c r="Q155" i="1" a="1"/>
  <c r="Q164" i="1" a="1"/>
  <c r="Q168" i="1" a="1"/>
  <c r="Q172" i="1" a="1"/>
  <c r="Q178" i="1" a="1"/>
  <c r="Q160" i="1" a="1"/>
  <c r="P214" i="1" a="1"/>
  <c r="P220" i="1" a="1"/>
  <c r="P224" i="1" a="1"/>
  <c r="P229" i="1" a="1"/>
  <c r="P226" i="1" a="1"/>
  <c r="P253" i="1" a="1"/>
  <c r="P257" i="1" a="1"/>
  <c r="Q283" i="1" a="1"/>
  <c r="P291" i="1" a="1"/>
  <c r="P296" i="1" a="1"/>
  <c r="P310" i="1" a="1"/>
  <c r="P314" i="1" a="1"/>
  <c r="P307" i="1" a="1"/>
  <c r="P318" i="1" a="1"/>
  <c r="P323" i="1" a="1"/>
  <c r="P327" i="1" a="1"/>
  <c r="P335" i="1" a="1"/>
  <c r="P342" i="1" a="1"/>
  <c r="P55" i="1" a="1"/>
  <c r="P66" i="1" a="1"/>
  <c r="P69" i="1" a="1"/>
  <c r="P74" i="1" a="1"/>
  <c r="P9" i="1" a="1"/>
  <c r="P13" i="1" a="1"/>
  <c r="P18" i="1" a="1"/>
  <c r="P23" i="1" a="1"/>
  <c r="P28" i="1" a="1"/>
  <c r="P35" i="1" a="1"/>
  <c r="P39" i="1" a="1"/>
  <c r="P364" i="1" a="1"/>
  <c r="P360" i="1" a="1"/>
  <c r="P356" i="1" a="1"/>
  <c r="P352" i="1" a="1"/>
  <c r="P348" i="1" a="1"/>
  <c r="P33" i="1" a="1"/>
  <c r="P363" i="1" a="1"/>
  <c r="P359" i="1" a="1"/>
  <c r="P347" i="1" a="1"/>
  <c r="P362" i="1" a="1"/>
  <c r="P346" i="1" a="1"/>
  <c r="P315" i="1" a="1"/>
  <c r="P78" i="1" a="1"/>
  <c r="P83" i="1" a="1"/>
  <c r="P89" i="1" a="1"/>
  <c r="P92" i="1" a="1"/>
  <c r="P96" i="1" a="1"/>
  <c r="P105" i="1" a="1"/>
  <c r="P109" i="1" a="1"/>
  <c r="P122" i="1" a="1"/>
  <c r="Q125" i="1" a="1"/>
  <c r="Q129" i="1" a="1"/>
  <c r="Q133" i="1" a="1"/>
  <c r="Q137" i="1" a="1"/>
  <c r="Q141" i="1" a="1"/>
  <c r="Q145" i="1" a="1"/>
  <c r="Q149" i="1" a="1"/>
  <c r="Q152" i="1" a="1"/>
  <c r="Q162" i="1" a="1"/>
  <c r="Q165" i="1" a="1"/>
  <c r="Q169" i="1" a="1"/>
  <c r="Q174" i="1" a="1"/>
  <c r="Q157" i="1" a="1"/>
  <c r="Q161" i="1" a="1"/>
  <c r="P217" i="1" a="1"/>
  <c r="P221" i="1" a="1"/>
  <c r="P225" i="1" a="1"/>
  <c r="Q230" i="1" a="1"/>
  <c r="P246" i="1" a="1"/>
  <c r="P265" i="1" a="1"/>
  <c r="P260" i="1" a="1"/>
  <c r="Q282" i="1" a="1"/>
  <c r="P289" i="1" a="1"/>
  <c r="P294" i="1" a="1"/>
  <c r="P311" i="1" a="1"/>
  <c r="P304" i="1" a="1"/>
  <c r="P308" i="1" a="1"/>
  <c r="P319" i="1" a="1"/>
  <c r="P324" i="1" a="1"/>
  <c r="P328" i="1" a="1"/>
  <c r="Q337" i="1" a="1"/>
  <c r="P343" i="1" a="1"/>
  <c r="P58" i="1" a="1"/>
  <c r="P67" i="1" a="1"/>
  <c r="P70" i="1" a="1"/>
  <c r="P75" i="1" a="1"/>
  <c r="P10" i="1" a="1"/>
  <c r="P16" i="1" a="1"/>
  <c r="P19" i="1" a="1"/>
  <c r="P24" i="1" a="1"/>
  <c r="P7" i="1" a="1"/>
  <c r="P351" i="1" a="1"/>
  <c r="P354" i="1" a="1"/>
  <c r="P341" i="1" a="1"/>
  <c r="P316" i="1" a="1"/>
  <c r="P79" i="1" a="1"/>
  <c r="P88" i="1" a="1"/>
  <c r="P90" i="1" a="1"/>
  <c r="P93" i="1" a="1"/>
  <c r="P98" i="1" a="1"/>
  <c r="P106" i="1" a="1"/>
  <c r="P110" i="1" a="1"/>
  <c r="P119" i="1" a="1"/>
  <c r="Q126" i="1" a="1"/>
  <c r="Q130" i="1" a="1"/>
  <c r="Q134" i="1" a="1"/>
  <c r="Q138" i="1" a="1"/>
  <c r="Q142" i="1" a="1"/>
  <c r="Q146" i="1" a="1"/>
  <c r="Q150" i="1" a="1"/>
  <c r="Q153" i="1" a="1"/>
  <c r="Q156" i="1" a="1"/>
  <c r="Q166" i="1" a="1"/>
  <c r="Q170" i="1" a="1"/>
  <c r="Q175" i="1" a="1"/>
  <c r="Q158" i="1" a="1"/>
  <c r="P211" i="1" a="1"/>
  <c r="P218" i="1" a="1"/>
  <c r="P222" i="1" a="1"/>
  <c r="P227" i="1" a="1"/>
  <c r="Q231" i="1" a="1"/>
  <c r="P248" i="1" a="1"/>
  <c r="P254" i="1" a="1"/>
  <c r="P261" i="1" a="1"/>
  <c r="P262" i="1" a="1"/>
  <c r="P293" i="1" a="1"/>
  <c r="P303" i="1" a="1"/>
  <c r="P312" i="1" a="1"/>
  <c r="P305" i="1" a="1"/>
  <c r="Q344" i="1" a="1"/>
  <c r="P326" i="1" a="1"/>
  <c r="P325" i="1" a="1"/>
  <c r="P329" i="1" a="1"/>
  <c r="P339" i="1" a="1"/>
  <c r="P80" i="1" a="1"/>
  <c r="P63" i="1" a="1"/>
  <c r="P72" i="1" a="1"/>
  <c r="P71" i="1" a="1"/>
  <c r="P52" i="1" a="1"/>
  <c r="P11" i="1" a="1"/>
  <c r="P15" i="1" a="1"/>
  <c r="P21" i="1" a="1"/>
  <c r="P26" i="1" a="1"/>
  <c r="P34" i="1" a="1"/>
  <c r="P37" i="1" a="1"/>
  <c r="P350" i="1" a="1"/>
  <c r="Q86" i="1" a="1"/>
  <c r="P266" i="1" a="1"/>
  <c r="P270" i="1" a="1"/>
  <c r="P81" i="1" a="1"/>
  <c r="P84" i="1" a="1"/>
  <c r="P104" i="1" a="1"/>
  <c r="P94" i="1" a="1"/>
  <c r="P99" i="1" a="1"/>
  <c r="P107" i="1" a="1"/>
  <c r="P116" i="1" a="1"/>
  <c r="P123" i="1" a="1"/>
  <c r="Q127" i="1" a="1"/>
  <c r="Q131" i="1" a="1"/>
  <c r="Q135" i="1" a="1"/>
  <c r="Q139" i="1" a="1"/>
  <c r="Q143" i="1" a="1"/>
  <c r="Q147" i="1" a="1"/>
  <c r="Q173" i="1" a="1"/>
  <c r="Q154" i="1" a="1"/>
  <c r="Q163" i="1" a="1"/>
  <c r="Q167" i="1" a="1"/>
  <c r="Q171" i="1" a="1"/>
  <c r="Q176" i="1" a="1"/>
  <c r="Q159" i="1" a="1"/>
  <c r="P212" i="1" a="1"/>
  <c r="P219" i="1" a="1"/>
  <c r="P223" i="1" a="1"/>
  <c r="P228" i="1" a="1"/>
  <c r="P245" i="1" a="1"/>
  <c r="P252" i="1" a="1"/>
  <c r="P255" i="1" a="1"/>
  <c r="P281" i="1" a="1"/>
  <c r="P264" i="1" a="1"/>
  <c r="P288" i="1" a="1"/>
  <c r="P309" i="1" a="1"/>
  <c r="P313" i="1" a="1"/>
  <c r="P306" i="1" a="1"/>
  <c r="P317" i="1" a="1"/>
  <c r="P322" i="1" a="1"/>
  <c r="P321" i="1" a="1"/>
  <c r="P333" i="1" a="1"/>
  <c r="P340" i="1" a="1"/>
  <c r="P53" i="1" a="1"/>
  <c r="P65" i="1" a="1"/>
  <c r="P68" i="1" a="1"/>
  <c r="P73" i="1" a="1"/>
  <c r="P8" i="1" a="1"/>
  <c r="P12" i="1" a="1"/>
  <c r="P17" i="1" a="1"/>
  <c r="P22" i="1" a="1"/>
  <c r="P27" i="1" a="1"/>
  <c r="P14" i="1" a="1"/>
  <c r="P38" i="1" a="1"/>
  <c r="P365" i="1" a="1"/>
  <c r="P361" i="1" a="1"/>
  <c r="P357" i="1" a="1"/>
  <c r="P353" i="1" a="1"/>
  <c r="P349" i="1" a="1"/>
  <c r="P345" i="1" a="1"/>
  <c r="P36" i="1" a="1"/>
  <c r="P355" i="1" a="1"/>
  <c r="P366" i="1" a="1"/>
  <c r="P358" i="1" a="1"/>
  <c r="P358" i="1" l="1"/>
  <c r="P366" i="1"/>
  <c r="P355" i="1"/>
  <c r="P36" i="1"/>
  <c r="P345" i="1"/>
  <c r="P349" i="1"/>
  <c r="P353" i="1"/>
  <c r="P357" i="1"/>
  <c r="P361" i="1"/>
  <c r="P365" i="1"/>
  <c r="P38" i="1"/>
  <c r="P14" i="1"/>
  <c r="P27" i="1"/>
  <c r="P22" i="1"/>
  <c r="P17" i="1"/>
  <c r="P12" i="1"/>
  <c r="P8" i="1"/>
  <c r="P73" i="1"/>
  <c r="P68" i="1"/>
  <c r="P65" i="1"/>
  <c r="P53" i="1"/>
  <c r="P340" i="1"/>
  <c r="P333" i="1"/>
  <c r="P321" i="1"/>
  <c r="P322" i="1"/>
  <c r="P317" i="1"/>
  <c r="P306" i="1"/>
  <c r="P313" i="1"/>
  <c r="P309" i="1"/>
  <c r="P288" i="1"/>
  <c r="P264" i="1"/>
  <c r="P281" i="1"/>
  <c r="P255" i="1"/>
  <c r="P252" i="1"/>
  <c r="P245" i="1"/>
  <c r="P228" i="1"/>
  <c r="P223" i="1"/>
  <c r="P219" i="1"/>
  <c r="P212" i="1"/>
  <c r="Q159" i="1"/>
  <c r="Q176" i="1"/>
  <c r="Q171" i="1"/>
  <c r="Q167" i="1"/>
  <c r="Q163" i="1"/>
  <c r="Q154" i="1"/>
  <c r="Q173" i="1"/>
  <c r="Q147" i="1"/>
  <c r="Q143" i="1"/>
  <c r="Q139" i="1"/>
  <c r="Q135" i="1"/>
  <c r="Q131" i="1"/>
  <c r="Q127" i="1"/>
  <c r="P123" i="1"/>
  <c r="P116" i="1"/>
  <c r="P107" i="1"/>
  <c r="P99" i="1"/>
  <c r="P94" i="1"/>
  <c r="P104" i="1"/>
  <c r="P84" i="1"/>
  <c r="P81" i="1"/>
  <c r="P270" i="1"/>
  <c r="P266" i="1"/>
  <c r="Q86" i="1"/>
  <c r="P350" i="1"/>
  <c r="P37" i="1"/>
  <c r="P34" i="1"/>
  <c r="P26" i="1"/>
  <c r="P21" i="1"/>
  <c r="P15" i="1"/>
  <c r="P11" i="1"/>
  <c r="P52" i="1"/>
  <c r="P71" i="1"/>
  <c r="P72" i="1"/>
  <c r="P63" i="1"/>
  <c r="P80" i="1"/>
  <c r="P339" i="1"/>
  <c r="P329" i="1"/>
  <c r="P325" i="1"/>
  <c r="P326" i="1"/>
  <c r="Q344" i="1"/>
  <c r="P305" i="1"/>
  <c r="P312" i="1"/>
  <c r="P303" i="1"/>
  <c r="P293" i="1"/>
  <c r="P262" i="1"/>
  <c r="P261" i="1"/>
  <c r="P254" i="1"/>
  <c r="P248" i="1"/>
  <c r="Q231" i="1"/>
  <c r="P227" i="1"/>
  <c r="P222" i="1"/>
  <c r="P218" i="1"/>
  <c r="P211" i="1"/>
  <c r="Q158" i="1"/>
  <c r="Q175" i="1"/>
  <c r="Q170" i="1"/>
  <c r="Q166" i="1"/>
  <c r="Q156" i="1"/>
  <c r="Q153" i="1"/>
  <c r="Q150" i="1"/>
  <c r="Q146" i="1"/>
  <c r="Q142" i="1"/>
  <c r="Q138" i="1"/>
  <c r="Q134" i="1"/>
  <c r="Q130" i="1"/>
  <c r="Q126" i="1"/>
  <c r="P119" i="1"/>
  <c r="P110" i="1"/>
  <c r="P106" i="1"/>
  <c r="P98" i="1"/>
  <c r="P93" i="1"/>
  <c r="P90" i="1"/>
  <c r="P88" i="1"/>
  <c r="P79" i="1"/>
  <c r="P316" i="1"/>
  <c r="P341" i="1"/>
  <c r="P354" i="1"/>
  <c r="P351" i="1"/>
  <c r="P7" i="1"/>
  <c r="P24" i="1"/>
  <c r="P19" i="1"/>
  <c r="P16" i="1"/>
  <c r="P10" i="1"/>
  <c r="P75" i="1"/>
  <c r="P70" i="1"/>
  <c r="P67" i="1"/>
  <c r="P58" i="1"/>
  <c r="P343" i="1"/>
  <c r="Q337" i="1"/>
  <c r="P328" i="1"/>
  <c r="P324" i="1"/>
  <c r="P319" i="1"/>
  <c r="P308" i="1"/>
  <c r="P304" i="1"/>
  <c r="P311" i="1"/>
  <c r="P294" i="1"/>
  <c r="P289" i="1"/>
  <c r="Q282" i="1"/>
  <c r="P260" i="1"/>
  <c r="P265" i="1"/>
  <c r="P246" i="1"/>
  <c r="Q230" i="1"/>
  <c r="P225" i="1"/>
  <c r="P221" i="1"/>
  <c r="P217" i="1"/>
  <c r="Q161" i="1"/>
  <c r="Q157" i="1"/>
  <c r="Q174" i="1"/>
  <c r="Q169" i="1"/>
  <c r="Q165" i="1"/>
  <c r="Q162" i="1"/>
  <c r="Q152" i="1"/>
  <c r="Q149" i="1"/>
  <c r="Q145" i="1"/>
  <c r="Q141" i="1"/>
  <c r="Q137" i="1"/>
  <c r="Q133" i="1"/>
  <c r="Q129" i="1"/>
  <c r="Q125" i="1"/>
  <c r="P122" i="1"/>
  <c r="P109" i="1"/>
  <c r="P105" i="1"/>
  <c r="P96" i="1"/>
  <c r="P92" i="1"/>
  <c r="P89" i="1"/>
  <c r="P83" i="1"/>
  <c r="P78" i="1"/>
  <c r="P315" i="1"/>
  <c r="P346" i="1"/>
  <c r="P362" i="1"/>
  <c r="P347" i="1"/>
  <c r="P359" i="1"/>
  <c r="P363" i="1"/>
  <c r="P33" i="1"/>
  <c r="P348" i="1"/>
  <c r="P352" i="1"/>
  <c r="P356" i="1"/>
  <c r="P360" i="1"/>
  <c r="P364" i="1"/>
  <c r="P39" i="1"/>
  <c r="P35" i="1"/>
  <c r="P28" i="1"/>
  <c r="P23" i="1"/>
  <c r="P18" i="1"/>
  <c r="P13" i="1"/>
  <c r="P9" i="1"/>
  <c r="P74" i="1"/>
  <c r="P69" i="1"/>
  <c r="P66" i="1"/>
  <c r="P55" i="1"/>
  <c r="P342" i="1"/>
  <c r="P335" i="1"/>
  <c r="P327" i="1"/>
  <c r="P323" i="1"/>
  <c r="P318" i="1"/>
  <c r="P307" i="1"/>
  <c r="P314" i="1"/>
  <c r="P310" i="1"/>
  <c r="P296" i="1"/>
  <c r="P291" i="1"/>
  <c r="Q283" i="1"/>
  <c r="P257" i="1"/>
  <c r="P253" i="1"/>
  <c r="P226" i="1"/>
  <c r="P229" i="1"/>
  <c r="P224" i="1"/>
  <c r="P220" i="1"/>
  <c r="P214" i="1"/>
  <c r="Q160" i="1"/>
  <c r="Q178" i="1"/>
  <c r="Q172" i="1"/>
  <c r="Q168" i="1"/>
  <c r="Q164" i="1"/>
  <c r="Q155" i="1"/>
  <c r="Q151" i="1"/>
  <c r="Q148" i="1"/>
  <c r="Q144" i="1"/>
  <c r="Q140" i="1"/>
  <c r="Q136" i="1"/>
  <c r="Q132" i="1"/>
  <c r="Q128" i="1"/>
  <c r="Q124" i="1"/>
  <c r="P118" i="1"/>
  <c r="P108" i="1"/>
  <c r="P100" i="1"/>
  <c r="P95" i="1"/>
  <c r="P91" i="1"/>
  <c r="P85" i="1"/>
  <c r="P82" i="1"/>
  <c r="P269" i="1"/>
  <c r="P267" i="1"/>
  <c r="Q272" i="1"/>
  <c r="Q358" i="1" a="1"/>
  <c r="Q345" i="1" a="1"/>
  <c r="Q361" i="1" a="1"/>
  <c r="Q27" i="1" a="1"/>
  <c r="Q8" i="1" a="1"/>
  <c r="Q53" i="1" a="1"/>
  <c r="Q322" i="1" a="1"/>
  <c r="Q309" i="1" a="1"/>
  <c r="Q255" i="1" a="1"/>
  <c r="Q223" i="1" a="1"/>
  <c r="Q123" i="1" a="1"/>
  <c r="Q94" i="1" a="1"/>
  <c r="Q270" i="1" a="1"/>
  <c r="Q37" i="1" a="1"/>
  <c r="Q15" i="1" a="1"/>
  <c r="Q329" i="1" a="1"/>
  <c r="Q305" i="1" a="1"/>
  <c r="Q262" i="1" a="1"/>
  <c r="Q211" i="1" a="1"/>
  <c r="Q106" i="1" a="1"/>
  <c r="Q88" i="1" a="1"/>
  <c r="Q354" i="1" a="1"/>
  <c r="Q19" i="1" a="1"/>
  <c r="Q70" i="1" a="1"/>
  <c r="Q308" i="1" a="1"/>
  <c r="Q289" i="1" a="1"/>
  <c r="Q109" i="1" a="1"/>
  <c r="Q346" i="1" a="1"/>
  <c r="Q363" i="1" a="1"/>
  <c r="Q356" i="1" a="1"/>
  <c r="Q35" i="1" a="1"/>
  <c r="Q13" i="1" a="1"/>
  <c r="Q66" i="1" a="1"/>
  <c r="Q327" i="1" a="1"/>
  <c r="Q314" i="1" a="1"/>
  <c r="Q229" i="1" a="1"/>
  <c r="Q100" i="1" a="1"/>
  <c r="Q82" i="1" a="1"/>
  <c r="Q274" i="1" a="1"/>
  <c r="Q212" i="1" a="1"/>
  <c r="Q90" i="1" a="1"/>
  <c r="Q214" i="1" a="1"/>
  <c r="Q265" i="1" a="1"/>
  <c r="Q248" i="1" a="1"/>
  <c r="Q366" i="1" a="1"/>
  <c r="Q349" i="1" a="1"/>
  <c r="Q365" i="1" a="1"/>
  <c r="Q22" i="1" a="1"/>
  <c r="Q73" i="1" a="1"/>
  <c r="Q340" i="1" a="1"/>
  <c r="Q317" i="1" a="1"/>
  <c r="Q288" i="1" a="1"/>
  <c r="Q116" i="1" a="1"/>
  <c r="Q266" i="1" a="1"/>
  <c r="Q11" i="1" a="1"/>
  <c r="Q63" i="1" a="1"/>
  <c r="Q325" i="1" a="1"/>
  <c r="Q312" i="1" a="1"/>
  <c r="Q261" i="1" a="1"/>
  <c r="Q227" i="1" a="1"/>
  <c r="Q98" i="1" a="1"/>
  <c r="Q79" i="1" a="1"/>
  <c r="Q351" i="1" a="1"/>
  <c r="Q16" i="1" a="1"/>
  <c r="Q67" i="1" a="1"/>
  <c r="Q328" i="1" a="1"/>
  <c r="Q304" i="1" a="1"/>
  <c r="Q105" i="1" a="1"/>
  <c r="Q83" i="1" a="1"/>
  <c r="Q362" i="1" a="1"/>
  <c r="Q360" i="1" a="1"/>
  <c r="Q28" i="1" a="1"/>
  <c r="Q9" i="1" a="1"/>
  <c r="Q55" i="1" a="1"/>
  <c r="Q323" i="1" a="1"/>
  <c r="Q310" i="1" a="1"/>
  <c r="Q224" i="1" a="1"/>
  <c r="Q95" i="1" a="1"/>
  <c r="Q269" i="1" a="1"/>
  <c r="Q89" i="1" a="1"/>
  <c r="Q44" i="1" a="1"/>
  <c r="Q10" i="1" a="1"/>
  <c r="Q220" i="1" a="1"/>
  <c r="Q342" i="1" a="1"/>
  <c r="Q221" i="1" a="1"/>
  <c r="Q268" i="1" a="1"/>
  <c r="Q245" i="1" a="1"/>
  <c r="Q7" i="1" a="1"/>
  <c r="Q355" i="1" a="1"/>
  <c r="Q353" i="1" a="1"/>
  <c r="Q38" i="1" a="1"/>
  <c r="Q17" i="1" a="1"/>
  <c r="Q68" i="1" a="1"/>
  <c r="Q333" i="1" a="1"/>
  <c r="Q306" i="1" a="1"/>
  <c r="Q264" i="1" a="1"/>
  <c r="Q107" i="1" a="1"/>
  <c r="Q84" i="1" a="1"/>
  <c r="Q26" i="1" a="1"/>
  <c r="Q52" i="1" a="1"/>
  <c r="Q80" i="1" a="1"/>
  <c r="Q303" i="1" a="1"/>
  <c r="Q254" i="1" a="1"/>
  <c r="Q222" i="1" a="1"/>
  <c r="Q119" i="1" a="1"/>
  <c r="Q93" i="1" a="1"/>
  <c r="Q316" i="1" a="1"/>
  <c r="Q58" i="1" a="1"/>
  <c r="Q324" i="1" a="1"/>
  <c r="Q311" i="1" a="1"/>
  <c r="Q260" i="1" a="1"/>
  <c r="Q225" i="1" a="1"/>
  <c r="Q96" i="1" a="1"/>
  <c r="Q78" i="1" a="1"/>
  <c r="Q347" i="1" a="1"/>
  <c r="Q348" i="1" a="1"/>
  <c r="Q364" i="1" a="1"/>
  <c r="Q23" i="1" a="1"/>
  <c r="Q74" i="1" a="1"/>
  <c r="Q318" i="1" a="1"/>
  <c r="Q296" i="1" a="1"/>
  <c r="Q253" i="1" a="1"/>
  <c r="Q118" i="1" a="1"/>
  <c r="Q91" i="1" a="1"/>
  <c r="Q267" i="1" a="1"/>
  <c r="Q218" i="1" a="1"/>
  <c r="Q48" i="1" a="1"/>
  <c r="Q33" i="1" a="1"/>
  <c r="Q252" i="1" a="1"/>
  <c r="Q34" i="1" a="1"/>
  <c r="Q326" i="1" a="1"/>
  <c r="Q36" i="1" a="1"/>
  <c r="Q357" i="1" a="1"/>
  <c r="Q14" i="1" a="1"/>
  <c r="Q12" i="1" a="1"/>
  <c r="Q65" i="1" a="1"/>
  <c r="Q321" i="1" a="1"/>
  <c r="Q313" i="1" a="1"/>
  <c r="Q228" i="1" a="1"/>
  <c r="Q99" i="1" a="1"/>
  <c r="Q81" i="1" a="1"/>
  <c r="Q350" i="1" a="1"/>
  <c r="Q21" i="1" a="1"/>
  <c r="Q71" i="1" a="1"/>
  <c r="Q339" i="1" a="1"/>
  <c r="Q293" i="1" a="1"/>
  <c r="Q110" i="1" a="1"/>
  <c r="Q341" i="1" a="1"/>
  <c r="Q24" i="1" a="1"/>
  <c r="Q75" i="1" a="1"/>
  <c r="Q343" i="1" a="1"/>
  <c r="Q319" i="1" a="1"/>
  <c r="Q294" i="1" a="1"/>
  <c r="Q92" i="1" a="1"/>
  <c r="Q315" i="1" a="1"/>
  <c r="Q359" i="1" a="1"/>
  <c r="Q352" i="1" a="1"/>
  <c r="Q39" i="1" a="1"/>
  <c r="Q18" i="1" a="1"/>
  <c r="Q69" i="1" a="1"/>
  <c r="Q335" i="1" a="1"/>
  <c r="Q307" i="1" a="1"/>
  <c r="Q291" i="1" a="1"/>
  <c r="Q226" i="1" a="1"/>
  <c r="Q108" i="1" a="1"/>
  <c r="Q85" i="1" a="1"/>
  <c r="Q246" i="1" a="1"/>
  <c r="Q72" i="1" a="1"/>
  <c r="Q122" i="1" a="1"/>
  <c r="Q257" i="1" a="1"/>
  <c r="Q104" i="1" a="1"/>
  <c r="Q219" i="1" a="1"/>
  <c r="Q281" i="1" a="1"/>
  <c r="Q217" i="1" a="1"/>
  <c r="Q217" i="1" l="1"/>
  <c r="Q281" i="1"/>
  <c r="Q219" i="1"/>
  <c r="Q104" i="1"/>
  <c r="Q257" i="1"/>
  <c r="Q122" i="1"/>
  <c r="Q72" i="1"/>
  <c r="Q246" i="1"/>
  <c r="Q85" i="1"/>
  <c r="Q108" i="1"/>
  <c r="Q226" i="1"/>
  <c r="Q291" i="1"/>
  <c r="Q307" i="1"/>
  <c r="Q335" i="1"/>
  <c r="Q69" i="1"/>
  <c r="Q18" i="1"/>
  <c r="Q39" i="1"/>
  <c r="Q352" i="1"/>
  <c r="Q359" i="1"/>
  <c r="Q315" i="1"/>
  <c r="Q92" i="1"/>
  <c r="Q294" i="1"/>
  <c r="Q319" i="1"/>
  <c r="Q343" i="1"/>
  <c r="Q75" i="1"/>
  <c r="Q24" i="1"/>
  <c r="Q341" i="1"/>
  <c r="Q110" i="1"/>
  <c r="Q293" i="1"/>
  <c r="Q339" i="1"/>
  <c r="Q71" i="1"/>
  <c r="Q21" i="1"/>
  <c r="Q350" i="1"/>
  <c r="Q81" i="1"/>
  <c r="Q99" i="1"/>
  <c r="Q228" i="1"/>
  <c r="Q313" i="1"/>
  <c r="Q321" i="1"/>
  <c r="Q65" i="1"/>
  <c r="Q12" i="1"/>
  <c r="Q14" i="1"/>
  <c r="Q357" i="1"/>
  <c r="Q36" i="1"/>
  <c r="Q326" i="1"/>
  <c r="Q34" i="1"/>
  <c r="Q252" i="1"/>
  <c r="Q33" i="1"/>
  <c r="Q48" i="1"/>
  <c r="Q218" i="1"/>
  <c r="Q267" i="1"/>
  <c r="Q91" i="1"/>
  <c r="Q118" i="1"/>
  <c r="Q253" i="1"/>
  <c r="Q296" i="1"/>
  <c r="Q318" i="1"/>
  <c r="Q74" i="1"/>
  <c r="Q23" i="1"/>
  <c r="Q364" i="1"/>
  <c r="Q348" i="1"/>
  <c r="Q347" i="1"/>
  <c r="Q78" i="1"/>
  <c r="Q96" i="1"/>
  <c r="Q225" i="1"/>
  <c r="Q260" i="1"/>
  <c r="Q311" i="1"/>
  <c r="Q324" i="1"/>
  <c r="Q58" i="1"/>
  <c r="Q316" i="1"/>
  <c r="Q93" i="1"/>
  <c r="Q119" i="1"/>
  <c r="Q222" i="1"/>
  <c r="Q254" i="1"/>
  <c r="Q303" i="1"/>
  <c r="Q80" i="1"/>
  <c r="Q52" i="1"/>
  <c r="Q26" i="1"/>
  <c r="Q84" i="1"/>
  <c r="Q107" i="1"/>
  <c r="Q264" i="1"/>
  <c r="Q306" i="1"/>
  <c r="Q333" i="1"/>
  <c r="Q68" i="1"/>
  <c r="Q17" i="1"/>
  <c r="Q38" i="1"/>
  <c r="Q353" i="1"/>
  <c r="Q355" i="1"/>
  <c r="Q7" i="1"/>
  <c r="Q245" i="1"/>
  <c r="Q268" i="1"/>
  <c r="Q221" i="1"/>
  <c r="Q342" i="1"/>
  <c r="Q220" i="1"/>
  <c r="Q10" i="1"/>
  <c r="Q44" i="1"/>
  <c r="Q89" i="1"/>
  <c r="Q269" i="1"/>
  <c r="Q95" i="1"/>
  <c r="Q224" i="1"/>
  <c r="Q310" i="1"/>
  <c r="Q323" i="1"/>
  <c r="Q55" i="1"/>
  <c r="Q9" i="1"/>
  <c r="Q28" i="1"/>
  <c r="Q360" i="1"/>
  <c r="Q362" i="1"/>
  <c r="Q83" i="1"/>
  <c r="Q105" i="1"/>
  <c r="Q304" i="1"/>
  <c r="Q328" i="1"/>
  <c r="Q67" i="1"/>
  <c r="Q16" i="1"/>
  <c r="Q351" i="1"/>
  <c r="Q79" i="1"/>
  <c r="Q98" i="1"/>
  <c r="Q227" i="1"/>
  <c r="Q261" i="1"/>
  <c r="Q312" i="1"/>
  <c r="Q325" i="1"/>
  <c r="Q63" i="1"/>
  <c r="Q11" i="1"/>
  <c r="Q266" i="1"/>
  <c r="Q116" i="1"/>
  <c r="Q288" i="1"/>
  <c r="Q317" i="1"/>
  <c r="Q340" i="1"/>
  <c r="Q73" i="1"/>
  <c r="Q22" i="1"/>
  <c r="Q365" i="1"/>
  <c r="Q349" i="1"/>
  <c r="Q366" i="1"/>
  <c r="Q248" i="1"/>
  <c r="Q265" i="1"/>
  <c r="Q214" i="1"/>
  <c r="Q90" i="1"/>
  <c r="Q212" i="1"/>
  <c r="Q274" i="1"/>
  <c r="Q82" i="1"/>
  <c r="Q100" i="1"/>
  <c r="Q229" i="1"/>
  <c r="Q314" i="1"/>
  <c r="Q327" i="1"/>
  <c r="Q66" i="1"/>
  <c r="Q13" i="1"/>
  <c r="Q35" i="1"/>
  <c r="Q356" i="1"/>
  <c r="Q363" i="1"/>
  <c r="Q346" i="1"/>
  <c r="Q109" i="1"/>
  <c r="Q289" i="1"/>
  <c r="Q308" i="1"/>
  <c r="Q70" i="1"/>
  <c r="Q19" i="1"/>
  <c r="Q354" i="1"/>
  <c r="Q88" i="1"/>
  <c r="Q106" i="1"/>
  <c r="Q211" i="1"/>
  <c r="Q262" i="1"/>
  <c r="Q305" i="1"/>
  <c r="Q329" i="1"/>
  <c r="Q15" i="1"/>
  <c r="Q37" i="1"/>
  <c r="Q270" i="1"/>
  <c r="Q94" i="1"/>
  <c r="Q123" i="1"/>
  <c r="Q223" i="1"/>
  <c r="Q255" i="1"/>
  <c r="Q309" i="1"/>
  <c r="Q322" i="1"/>
  <c r="Q53" i="1"/>
  <c r="Q8" i="1"/>
  <c r="Q27" i="1"/>
  <c r="Q361" i="1"/>
  <c r="Q345" i="1"/>
  <c r="Q358" i="1"/>
</calcChain>
</file>

<file path=xl/comments1.xml><?xml version="1.0" encoding="utf-8"?>
<comments xmlns="http://schemas.openxmlformats.org/spreadsheetml/2006/main">
  <authors>
    <author/>
  </authors>
  <commentList>
    <comment ref="F10" authorId="0" shapeId="0">
      <text>
        <r>
          <rPr>
            <sz val="11"/>
            <color theme="1"/>
            <rFont val="Calibri"/>
            <family val="2"/>
            <scheme val="minor"/>
          </rPr>
          <t>======
ID#AAABuI5L2j0
Usuario    (2025-11-10 14:40:15)
PERTENCECE AL 
ALINEADOR</t>
        </r>
      </text>
    </comment>
    <comment ref="F49" authorId="0" shapeId="0">
      <text>
        <r>
          <rPr>
            <sz val="11"/>
            <color theme="1"/>
            <rFont val="Calibri"/>
            <family val="2"/>
            <scheme val="minor"/>
          </rPr>
          <t>======
ID#AAABuI5L2jk
Usuario    (2025-11-10 14:40:15)
EN PDVSA  NO TIENEN LA MÁQUINA PARA REALIZAR PRUEBAS DIELECTRICAS. NO REALIZARON LA VALIDACION</t>
        </r>
      </text>
    </comment>
    <comment ref="N109" authorId="0" shapeId="0">
      <text>
        <r>
          <rPr>
            <sz val="11"/>
            <color theme="1"/>
            <rFont val="Calibri"/>
            <family val="2"/>
            <scheme val="minor"/>
          </rPr>
          <t>======
ID#AAABuI5L2kk
Usuario    (2025-11-10 14:40:15)
Ubicado en Valencia</t>
        </r>
      </text>
    </comment>
    <comment ref="N110" authorId="0" shapeId="0">
      <text>
        <r>
          <rPr>
            <sz val="11"/>
            <color theme="1"/>
            <rFont val="Calibri"/>
            <family val="2"/>
            <scheme val="minor"/>
          </rPr>
          <t>======
ID#AAABuI5L2kM
Usuario    (2025-11-10 14:40:15)
Ubicado en Falcon</t>
        </r>
      </text>
    </comment>
    <comment ref="G218" authorId="0" shapeId="0">
      <text>
        <r>
          <rPr>
            <sz val="11"/>
            <color theme="1"/>
            <rFont val="Calibri"/>
            <family val="2"/>
            <scheme val="minor"/>
          </rPr>
          <t>======
ID#AAABuI5L2jY
Usuario    (2025-11-10 14:40:15)
ENLACE CABO DE VIDA</t>
        </r>
      </text>
    </comment>
    <comment ref="F343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5k2ane/oeq/gJzr+4NaRN/G8qrQ=="/>
    </ext>
  </extLst>
</comments>
</file>

<file path=xl/comments2.xml><?xml version="1.0" encoding="utf-8"?>
<comments xmlns="http://schemas.openxmlformats.org/spreadsheetml/2006/main">
  <authors>
    <author/>
  </authors>
  <commentList>
    <comment ref="D277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<sst xmlns="http://schemas.openxmlformats.org/spreadsheetml/2006/main" count="5459" uniqueCount="1388">
  <si>
    <t>Fecha de hoy:</t>
  </si>
  <si>
    <t xml:space="preserve"> SERVICIO INTEGRAL DE MANTENIMIENTO PREDICTIVO, PREVENTIVO, CORRECTIVO Y OPERACIÓN DE LA PLANTA TERMOELECTRICA BAJO GRANDE</t>
  </si>
  <si>
    <t>ÍTEM</t>
  </si>
  <si>
    <t>CLASIFICACIÓN DE CERTIFICADOS</t>
  </si>
  <si>
    <t>DISCIPLINA</t>
  </si>
  <si>
    <t>CÓDIGO INTERNO</t>
  </si>
  <si>
    <t>NOMBRE DEL EQUIPO</t>
  </si>
  <si>
    <t>SERIAL</t>
  </si>
  <si>
    <t>MARCA / MODELO</t>
  </si>
  <si>
    <t>RANGO/ CAPACIDAD</t>
  </si>
  <si>
    <t>UBICACIÓN</t>
  </si>
  <si>
    <t>FRECUENCIA DE CERTIFICACIÓN</t>
  </si>
  <si>
    <t>AGENTE CERTIFICADOR</t>
  </si>
  <si>
    <t>ÚLTIMA FECHA DE CERTIFICACIÓN</t>
  </si>
  <si>
    <t>PROXIMA FECHA PARA CERTIFICAR</t>
  </si>
  <si>
    <t>ALARMA</t>
  </si>
  <si>
    <t>OBSERVACIONES</t>
  </si>
  <si>
    <t>EQUIPO_MEDICIÓN</t>
  </si>
  <si>
    <t>MECÁNICA</t>
  </si>
  <si>
    <t>ALINEADOR  LASER DE EJES</t>
  </si>
  <si>
    <t>1924-0164</t>
  </si>
  <si>
    <t>SKF TKSA11</t>
  </si>
  <si>
    <t xml:space="preserve">DISTANCIA DE MEDICIÓN DEL SISTEMA: 0,07- 4M
155 G
LARGO: 4,1 IN
ANCHO 2,2 IN
ALTO: 2,2 IN </t>
  </si>
  <si>
    <t>PTBG</t>
  </si>
  <si>
    <t>ANUAL</t>
  </si>
  <si>
    <t>NO SE HA CERTIFICADO NUNCA</t>
  </si>
  <si>
    <t>2311-0190</t>
  </si>
  <si>
    <t>SKF TKSA 41</t>
  </si>
  <si>
    <t xml:space="preserve">DISTANCIA DE MEDICIÓN DEL SISTEMA: 0,07- 4M
PESO: 220 G
LARGO: 4,7 IN
ANCHO 3,5 IN
ALTO: 1,4 IN </t>
  </si>
  <si>
    <t>ALINEADOR  LASER DE POLEAS</t>
  </si>
  <si>
    <t>2438-024</t>
  </si>
  <si>
    <t>SKF TKBA 40</t>
  </si>
  <si>
    <t xml:space="preserve">DISTANCIA DE MEDICIÓN DEL SISTEMA: 50 MM A 6000 MM
</t>
  </si>
  <si>
    <t>N/A</t>
  </si>
  <si>
    <t>ALINEADOR LASER</t>
  </si>
  <si>
    <t>DB PRUFTECHNIK / ROTALIN ULTRA</t>
  </si>
  <si>
    <t>2MM</t>
  </si>
  <si>
    <t>ANALIZADOR DE VIBRACIONES</t>
  </si>
  <si>
    <t>FLUKE SBP810</t>
  </si>
  <si>
    <t xml:space="preserve">200 RPM A 12000 RPM </t>
  </si>
  <si>
    <t>INSTRUMENTACIÓN</t>
  </si>
  <si>
    <t>BAKER B1600, CALIBRADOR DE PRESION.</t>
  </si>
  <si>
    <t>B09JPDP6K1</t>
  </si>
  <si>
    <t>BAKER / B1600</t>
  </si>
  <si>
    <t>0 A 160 IN H2O</t>
  </si>
  <si>
    <t>SISMECA LABORATORIA C.A / UNITED CALIBRATION SERVICES, C.A.</t>
  </si>
  <si>
    <t>BOMBA DE COMPROBACION DE BAJA PRESION (LOW PRESSURE TEST PUMP)</t>
  </si>
  <si>
    <t>FLUKE/ 700LTP1</t>
  </si>
  <si>
    <t>12,7 PSI A 100 PSI</t>
  </si>
  <si>
    <t>BOMBA PARA PRUEBA HIDRAULICA</t>
  </si>
  <si>
    <t>FLUKE/ 700HTP-2</t>
  </si>
  <si>
    <t>0 A 10000 PSI
T- 0 ⁰C A 50 ⁰C</t>
  </si>
  <si>
    <t>6559033MV</t>
  </si>
  <si>
    <t>ELECTRICIDAD</t>
  </si>
  <si>
    <t>CABLE PUESTA A TIERRA TEMPORARIA CON SUS 3 CONECTORES RIGIDOS (MORDAZA)</t>
  </si>
  <si>
    <t xml:space="preserve">FAMECA/ C132-ISC35 </t>
  </si>
  <si>
    <t>25 KA/60 CICLOS-35.5 KA/30 CICLOS</t>
  </si>
  <si>
    <t>CALIBRADOR DE PROCESO DE DOCUMENTACION</t>
  </si>
  <si>
    <t>FLUKE/ 744</t>
  </si>
  <si>
    <t>CALIBRADOR DE TEMPERATURA</t>
  </si>
  <si>
    <t>DRUCK LIMITED/ DBC650TC</t>
  </si>
  <si>
    <t>(-45 HASTA650 ⁰C)</t>
  </si>
  <si>
    <t>CA25SLBF84</t>
  </si>
  <si>
    <t>COMPARADOR DE CUADRANTE</t>
  </si>
  <si>
    <t>MITUTOYO ULTRA 417</t>
  </si>
  <si>
    <t>0,01 MM</t>
  </si>
  <si>
    <t xml:space="preserve">SISMECA LABORATORIO, C.A </t>
  </si>
  <si>
    <t>CA25AL6538</t>
  </si>
  <si>
    <t>SHOCKPROOF</t>
  </si>
  <si>
    <t>0,005 IN</t>
  </si>
  <si>
    <t>COMUNICADOR DE CAMPO</t>
  </si>
  <si>
    <t>EMERSON/HART 475</t>
  </si>
  <si>
    <t>0-100%</t>
  </si>
  <si>
    <t>FLUKE/ 709H</t>
  </si>
  <si>
    <t>JGW /  277HP</t>
  </si>
  <si>
    <t>50V HASTA 132 KVAC</t>
  </si>
  <si>
    <t>GENERAL</t>
  </si>
  <si>
    <t>DETECTOR DE GAS SF6</t>
  </si>
  <si>
    <t>DILO ARMATUREN/ 3-033-R002</t>
  </si>
  <si>
    <t>INDICADOR POR COLORES</t>
  </si>
  <si>
    <t xml:space="preserve">DETECTOR MULTIGAS </t>
  </si>
  <si>
    <t>CHNADKS/     X-4</t>
  </si>
  <si>
    <t>CO: 0-1000
H2S: 0-100
CH4: 0-100
O2: 0-30</t>
  </si>
  <si>
    <t>SEMESTRAL</t>
  </si>
  <si>
    <t>LABORATORIO DE CALIBRACION RENSER ORIENTE, C.A</t>
  </si>
  <si>
    <t>DETECTOR MULTIGAS. (COMB/EX-CO-H2S, 02)</t>
  </si>
  <si>
    <t>ARXM-0500</t>
  </si>
  <si>
    <t>DRAGER / X-AM3000</t>
  </si>
  <si>
    <t xml:space="preserve"> _________</t>
  </si>
  <si>
    <t>NO APTO</t>
  </si>
  <si>
    <t>N20230820382</t>
  </si>
  <si>
    <t>_________</t>
  </si>
  <si>
    <t>GE/ PV211</t>
  </si>
  <si>
    <t>0 A 600 PSI
T- 0 ⁰C A 50 ⁰C</t>
  </si>
  <si>
    <t>SCADA</t>
  </si>
  <si>
    <t xml:space="preserve">DTX-1800 SMARTREMOTO- CABLEANALYZER </t>
  </si>
  <si>
    <t>FLUKE/ DTX-MFM2</t>
  </si>
  <si>
    <t>SEGÚN ESCALA</t>
  </si>
  <si>
    <t>1813069/ 1813070</t>
  </si>
  <si>
    <t>FLUKE/ DTX 1800</t>
  </si>
  <si>
    <t>4095607 A</t>
  </si>
  <si>
    <t>SALISBURY/ CLASE 0 TIPO1</t>
  </si>
  <si>
    <t>1000 V</t>
  </si>
  <si>
    <t>ALMACEN</t>
  </si>
  <si>
    <t>PCM1</t>
  </si>
  <si>
    <t>902020-4</t>
  </si>
  <si>
    <t>4095607 B</t>
  </si>
  <si>
    <t>PCM2</t>
  </si>
  <si>
    <t xml:space="preserve">NO APTO POR LONGITUD SEGÚN PDVSA </t>
  </si>
  <si>
    <t>GUANTE DIELECTRICO , CLASE 0 TIPO 1</t>
  </si>
  <si>
    <t>SALISBURY /
D120 TIPO 1</t>
  </si>
  <si>
    <t>1000 V AC MAX</t>
  </si>
  <si>
    <t>902020-2</t>
  </si>
  <si>
    <t>C00S10 F0041F</t>
  </si>
  <si>
    <t>SALISBURY</t>
  </si>
  <si>
    <t>SALA_CONTROL</t>
  </si>
  <si>
    <t>GUANTE DIELECTRICO , CLASE 2 TIPO 1</t>
  </si>
  <si>
    <t>C2S10 G0021F</t>
  </si>
  <si>
    <t>MARIGOLD/ EN60903</t>
  </si>
  <si>
    <t>17000 V AC MAX</t>
  </si>
  <si>
    <t>902020-5</t>
  </si>
  <si>
    <t>GUANTE DIELECTRICO , CLASE 3 TIPO 1 DE 12"</t>
  </si>
  <si>
    <t>5332860 / 5332859</t>
  </si>
  <si>
    <t>SALISBURY/ PRODUSCA
D120/ ILP14</t>
  </si>
  <si>
    <t>26500 V</t>
  </si>
  <si>
    <t>GUANTE DIELECTRICO , CLASE 4 TIPO 1</t>
  </si>
  <si>
    <t>SALISBURY/
D120</t>
  </si>
  <si>
    <t>36000 V</t>
  </si>
  <si>
    <t>4588835
4593382</t>
  </si>
  <si>
    <t>NOVAX / D120</t>
  </si>
  <si>
    <t>4587194
4588840</t>
  </si>
  <si>
    <t>SF-HM-001</t>
  </si>
  <si>
    <t>HM-BLE, MODEM HART DE BAJA ENERGIA BLUETOOTH</t>
  </si>
  <si>
    <t>PROCOMSOL/ HM-BLE</t>
  </si>
  <si>
    <t>MANOMETRO 0-3000 PSI</t>
  </si>
  <si>
    <t>FLUKE / 700RG29 3K</t>
  </si>
  <si>
    <t>0-3000 PSI</t>
  </si>
  <si>
    <t>MAQUINA DE SOLDAR</t>
  </si>
  <si>
    <t>U1080600539</t>
  </si>
  <si>
    <t>LINCOLN/ VANTAGE. K2405-2</t>
  </si>
  <si>
    <t>0-500 A</t>
  </si>
  <si>
    <t>INTEST, C.A / SONOTEST S. A.</t>
  </si>
  <si>
    <t>AMERITA REEMPLAZO DE CABLE QUE TIENE LA PINZA DE SOLDAR MUY CORTO  NOTIFICADO 02/08</t>
  </si>
  <si>
    <t>MAQUINA DE SOLDAR ELECTRICA</t>
  </si>
  <si>
    <t>12C9K419400100391480056</t>
  </si>
  <si>
    <t>HOFFMAMART /LASSEN 200</t>
  </si>
  <si>
    <t>0 -200 A</t>
  </si>
  <si>
    <t>MEGGER</t>
  </si>
  <si>
    <t>110870SADV</t>
  </si>
  <si>
    <t>MEGOHMETRO/ AEMC 6505</t>
  </si>
  <si>
    <t>0 A 5 KV</t>
  </si>
  <si>
    <t>MODULO DE PRESION 750PD5
0 A 5000  PSI</t>
  </si>
  <si>
    <t>FLUKE/ 750PD5</t>
  </si>
  <si>
    <t>15/30PSIG</t>
  </si>
  <si>
    <t>MODULO DE PRESION 750PDS 
0 A 100  PSI</t>
  </si>
  <si>
    <t>MULTIMETRO</t>
  </si>
  <si>
    <t>C232601608</t>
  </si>
  <si>
    <t>UNT-T/ UT 892</t>
  </si>
  <si>
    <t>FLUKE / 787 PROCESSMETER</t>
  </si>
  <si>
    <t xml:space="preserve">FLUKE/
787B PROCESSMETER
</t>
  </si>
  <si>
    <t>62220102MW</t>
  </si>
  <si>
    <t>FLUKE/
117 TRUE RMS</t>
  </si>
  <si>
    <t>34420225WS</t>
  </si>
  <si>
    <t>FLUKE / 116 TRUE RMS</t>
  </si>
  <si>
    <t>E2011687
003366</t>
  </si>
  <si>
    <t>FLIR / DM284</t>
  </si>
  <si>
    <t>MULTIMETRO 87 V</t>
  </si>
  <si>
    <t>SEGÚN ESCALA 1000V</t>
  </si>
  <si>
    <t>MULTIMETRO Y MEGGER</t>
  </si>
  <si>
    <t>FLUKE/ 1587 FC  INSULATION MULTIMETER</t>
  </si>
  <si>
    <t>OSCILOSCOPIO-MULTIMETRO</t>
  </si>
  <si>
    <t>FNIRSI/ 2C23T 2C53</t>
  </si>
  <si>
    <t>SF-PER-001</t>
  </si>
  <si>
    <t>PERTIGA ELECTRICA BRAZO MECANICO</t>
  </si>
  <si>
    <t>HASTINGS MICHICAN/ C403-0292</t>
  </si>
  <si>
    <t>2,0 MTS</t>
  </si>
  <si>
    <t>SF-PERT-001</t>
  </si>
  <si>
    <t>PERTIGA TELESCOPICA TRIANGULAR</t>
  </si>
  <si>
    <t>HV-235</t>
  </si>
  <si>
    <t>HASTINGS MICHICAN/ 49058</t>
  </si>
  <si>
    <t>10,5 MTS</t>
  </si>
  <si>
    <t>SIXTO TORRES</t>
  </si>
  <si>
    <t>PINZA AMPERIMETRICA</t>
  </si>
  <si>
    <t>FLUKE/ 771</t>
  </si>
  <si>
    <t xml:space="preserve">´+ 20.99 MA + 21.0 MA TO + 99.9 MA </t>
  </si>
  <si>
    <t>SIXTO</t>
  </si>
  <si>
    <t>64780046WS</t>
  </si>
  <si>
    <t>65340132WS</t>
  </si>
  <si>
    <t>FLUKE/377 FC</t>
  </si>
  <si>
    <t>LINO NAVA</t>
  </si>
  <si>
    <t>64672299MV</t>
  </si>
  <si>
    <t>FLUKE/ 377FC</t>
  </si>
  <si>
    <t>64011048WS</t>
  </si>
  <si>
    <t>FLUKE/ 323</t>
  </si>
  <si>
    <t>64083149WS</t>
  </si>
  <si>
    <t>GREENLEE/ CM-900 LISTED 67KM</t>
  </si>
  <si>
    <t>65960628MV</t>
  </si>
  <si>
    <t>FLUKE/ 325 TRUE-RMS</t>
  </si>
  <si>
    <t>NO ESTA EN PLANTA. LO TENIAN LOS ROBERTOS</t>
  </si>
  <si>
    <t>8-555725</t>
  </si>
  <si>
    <t>FLUKE/ 337</t>
  </si>
  <si>
    <t>SA-008</t>
  </si>
  <si>
    <t>POLIPASTO MANUAL DE CADENA</t>
  </si>
  <si>
    <t>REX/ TIPO RACHET</t>
  </si>
  <si>
    <t>1 1/2 T</t>
  </si>
  <si>
    <t>POLIPASTO MANUAL DE CADENA  TIPO RACHET</t>
  </si>
  <si>
    <t xml:space="preserve"> _____</t>
  </si>
  <si>
    <t>UTUSTOOLS/  TEC202</t>
  </si>
  <si>
    <t>2 T</t>
  </si>
  <si>
    <t>POLIPASTO- GRUA MANUAL DE CADENA</t>
  </si>
  <si>
    <t>F00010</t>
  </si>
  <si>
    <t>COFFING</t>
  </si>
  <si>
    <t>5 T</t>
  </si>
  <si>
    <t>VB0001</t>
  </si>
  <si>
    <t>YALE/ DE CADENA</t>
  </si>
  <si>
    <t>10 T</t>
  </si>
  <si>
    <t>VB0002</t>
  </si>
  <si>
    <t>ROTAMETRO</t>
  </si>
  <si>
    <t>D12301796</t>
  </si>
  <si>
    <t>ROTA YOKOGAWA / RAMC08-D4SS-77V8-J90424-BG-KS1-P3-IE2</t>
  </si>
  <si>
    <t>0- 70 M3/H</t>
  </si>
  <si>
    <t>D12301797</t>
  </si>
  <si>
    <t>ROTA YOKOGAWA / RAMC08-D4SS-77V8-J90424-BG-KS1-P3-IE3</t>
  </si>
  <si>
    <t>D12301798</t>
  </si>
  <si>
    <t>ROTA YOKOGAWA / RAMC08-D4SS-77V8-J90424-BG-KS1-P3-IE4</t>
  </si>
  <si>
    <t>SF6-GAS SUPER LIQUEFACTION SYSTEM</t>
  </si>
  <si>
    <t>L2370XW1200XH1900</t>
  </si>
  <si>
    <t>WOOSUNG/ SLR-600-06</t>
  </si>
  <si>
    <t>CAP.LIQ.600L</t>
  </si>
  <si>
    <t>SONOMETRO O DECIBELIMETRO</t>
  </si>
  <si>
    <t>UNI-T/ UT352</t>
  </si>
  <si>
    <t>30-130DB</t>
  </si>
  <si>
    <t xml:space="preserve">PENDIENTE POR ENTE CERTIFICADOR  </t>
  </si>
  <si>
    <t>TORQUIMETRO DE 1/2´´</t>
  </si>
  <si>
    <t>STANLEY / STMT 73-591</t>
  </si>
  <si>
    <t>60 A 300 N-M</t>
  </si>
  <si>
    <t>LABORATORIO DE CALIBRACION DE SERSINCA, C.A.</t>
  </si>
  <si>
    <t>TORQUIMETRO DE 1/4´´</t>
  </si>
  <si>
    <t>PITTTSBURGH PRO</t>
  </si>
  <si>
    <t>20-200 IN-LB</t>
  </si>
  <si>
    <t>TORQUIMETRO DE 3/4´´</t>
  </si>
  <si>
    <t>50 A 300 FT-LB</t>
  </si>
  <si>
    <t>TORQUIMETRO DE 3/8´´</t>
  </si>
  <si>
    <t>13,6 A 108,5 N-M</t>
  </si>
  <si>
    <t>PROTO / J6005C</t>
  </si>
  <si>
    <t>4 A 80 FT-LBS</t>
  </si>
  <si>
    <t>EXTINTORES</t>
  </si>
  <si>
    <t>BOMBONAS CO2 BG-1</t>
  </si>
  <si>
    <t>KF139408</t>
  </si>
  <si>
    <t>CO2</t>
  </si>
  <si>
    <t>100 LBS</t>
  </si>
  <si>
    <t>DELTA FIRE SYSTEMS CA</t>
  </si>
  <si>
    <t>PRUEBA HIDROSTATICA
01/11/2023 HASTA 01/11/2028</t>
  </si>
  <si>
    <t>KF139705</t>
  </si>
  <si>
    <t>KF139685</t>
  </si>
  <si>
    <t>KF137358</t>
  </si>
  <si>
    <t>KF139356</t>
  </si>
  <si>
    <t>KF137847</t>
  </si>
  <si>
    <t>KF139375</t>
  </si>
  <si>
    <t>KF137846</t>
  </si>
  <si>
    <t>KF139345</t>
  </si>
  <si>
    <t>KF139354</t>
  </si>
  <si>
    <t>KF137863</t>
  </si>
  <si>
    <t>KF137859</t>
  </si>
  <si>
    <t>KF139353</t>
  </si>
  <si>
    <t>KF137862</t>
  </si>
  <si>
    <t>BOMBONAS CO2 BG-2</t>
  </si>
  <si>
    <t>KF139412</t>
  </si>
  <si>
    <t>KF137897</t>
  </si>
  <si>
    <t>KF139357</t>
  </si>
  <si>
    <t>KF137856</t>
  </si>
  <si>
    <t>KF137892</t>
  </si>
  <si>
    <t>KF139351</t>
  </si>
  <si>
    <t>KF111398</t>
  </si>
  <si>
    <t>KF137887</t>
  </si>
  <si>
    <t>KF139394</t>
  </si>
  <si>
    <t>KF139411</t>
  </si>
  <si>
    <t>KF139372</t>
  </si>
  <si>
    <t>KF137885</t>
  </si>
  <si>
    <t>KF137864</t>
  </si>
  <si>
    <t>KF111457</t>
  </si>
  <si>
    <t xml:space="preserve">EXTINTOR </t>
  </si>
  <si>
    <t>50 LBS</t>
  </si>
  <si>
    <t>S/N</t>
  </si>
  <si>
    <t>C02</t>
  </si>
  <si>
    <t>150 LBS</t>
  </si>
  <si>
    <t>15 LBS</t>
  </si>
  <si>
    <t>PRUEBA HIDROSTATICA
01/5/2021 HASTA 01/5/2026</t>
  </si>
  <si>
    <t>PQS</t>
  </si>
  <si>
    <t>20 LBS</t>
  </si>
  <si>
    <t>V-729195</t>
  </si>
  <si>
    <t>V-729183</t>
  </si>
  <si>
    <t>HERRAMIENTAS</t>
  </si>
  <si>
    <t>APAREJOS DE IZAMIENTO (CANCAMOS)</t>
  </si>
  <si>
    <t>C-15 (7 UND)
C-25 (2UND)
C-15 (4 UND)</t>
  </si>
  <si>
    <t>WSLL</t>
  </si>
  <si>
    <t>5200 LB
13300 LB
10600 LB</t>
  </si>
  <si>
    <t>C-14/C-15/C-16</t>
  </si>
  <si>
    <t>WSLL
14MM
19MM</t>
  </si>
  <si>
    <t xml:space="preserve">3000 KG
2000 KG
</t>
  </si>
  <si>
    <t>C-1 / C-2/C-3/C-4/C-5/C-6/C-7/C-8/C-9/C-10/C-11/C-12/C-13</t>
  </si>
  <si>
    <t>2000 KG
2400 KG
5000 KG</t>
  </si>
  <si>
    <t>SF-AR-001</t>
  </si>
  <si>
    <t>ARNES Y CABO DE VIDA</t>
  </si>
  <si>
    <t>1909200025/EN3612002/ 0321</t>
  </si>
  <si>
    <t>VAULTEX</t>
  </si>
  <si>
    <t>140 KG</t>
  </si>
  <si>
    <t>SF-AR-003/004</t>
  </si>
  <si>
    <t>310 KG</t>
  </si>
  <si>
    <t xml:space="preserve">NO APTO </t>
  </si>
  <si>
    <t>1909200025/EN3612002/ 0321/190920040</t>
  </si>
  <si>
    <t>VAULTEX /JOHA</t>
  </si>
  <si>
    <t>200 KG</t>
  </si>
  <si>
    <t>202408
19092000200</t>
  </si>
  <si>
    <t>FA30401
FA30401
0472
0351
0259
0436
0472</t>
  </si>
  <si>
    <t>INTOOL
PALOMA</t>
  </si>
  <si>
    <t>AMARILLO CON NEGRO 012-013</t>
  </si>
  <si>
    <t>VAULTEX/ PSH022
VAULTEX/ VT-6709</t>
  </si>
  <si>
    <t>310 LBS</t>
  </si>
  <si>
    <t>NO APTO CABO DE VIDA 0021</t>
  </si>
  <si>
    <t>VAULTEX/ PSH022
VAULTEX/ VT-6710</t>
  </si>
  <si>
    <t>ARNES Y CABO DE VIDA CON PROTECCION LUMBAR</t>
  </si>
  <si>
    <t>GB/ PSH032</t>
  </si>
  <si>
    <t>CABLE DE ACERO 1´´ X 3 MTS</t>
  </si>
  <si>
    <t>K16-P324</t>
  </si>
  <si>
    <t>12,6 t</t>
  </si>
  <si>
    <t>NO CERTIFICAR</t>
  </si>
  <si>
    <t>CABO DE VIDA</t>
  </si>
  <si>
    <t>VAULTEX/ VT-6709</t>
  </si>
  <si>
    <t>SF-ESL-001/016</t>
  </si>
  <si>
    <t>ESLINGA DE 1¨X1MTS / 2¨X2MTS
(NARANJA)</t>
  </si>
  <si>
    <t>162426/ 162427/ 162428/ 162429/ 112417/ 112418/ 142409/ 142410</t>
  </si>
  <si>
    <t xml:space="preserve">ESLINCARGA /EC1B-1B 
EC2B-2B
</t>
  </si>
  <si>
    <t>1¨2000 KG
2¨4000 KG</t>
  </si>
  <si>
    <t xml:space="preserve">ESLINCARGA </t>
  </si>
  <si>
    <t xml:space="preserve">VERTICAL: 2000
CESTA:4000 KG </t>
  </si>
  <si>
    <t>SF-ESL-028</t>
  </si>
  <si>
    <t>ESLINGA DE IZAMIENTO 1¨X1 MTS NARANJA</t>
  </si>
  <si>
    <t xml:space="preserve">ESLINCARGA /EC1B-1B 
</t>
  </si>
  <si>
    <t>800 KG A 2000 KG</t>
  </si>
  <si>
    <t xml:space="preserve">NO ESTA EN PLANTA. </t>
  </si>
  <si>
    <t>SF-ESL-029/030</t>
  </si>
  <si>
    <t>ESLINGA DE IZAMIENTO 2" (2M) NARANJA</t>
  </si>
  <si>
    <t>092511 / 142414</t>
  </si>
  <si>
    <t>ESLINCARGA / EC2B-2B</t>
  </si>
  <si>
    <t>"U" 4000 KG
"V" 2000 KG
"LAZO" 1600 KG</t>
  </si>
  <si>
    <t>ESLINGA DE IZAMIENTO 2¨ X 2MTS NARANJA</t>
  </si>
  <si>
    <t>ESLINCARGA /EC2B-2B</t>
  </si>
  <si>
    <t>1600 KG A 4000 KG</t>
  </si>
  <si>
    <t>SF-ESL-031/034</t>
  </si>
  <si>
    <t>ESLINGA DE IZAMIENTO 3.5¨ (9CM) AMARILLO</t>
  </si>
  <si>
    <t>222404/222405/ 412407/412408</t>
  </si>
  <si>
    <t xml:space="preserve">ESLINCARGA/ EP3B-3
                            EP3B-3
</t>
  </si>
  <si>
    <t>2400 KG A
8400 KG</t>
  </si>
  <si>
    <t>ESLINGA DE IZAMIENTO DE CARGA
1¨X 1 MTS
NARANJA</t>
  </si>
  <si>
    <t xml:space="preserve">KG.U 2000 KG
KG.VERTICAL 1000KG
KG.LAZO 8.00 KG </t>
  </si>
  <si>
    <t>ESLINGA DE IZAMIENTO DE CARGA
2¨X 2 MTS
NARANJA</t>
  </si>
  <si>
    <t xml:space="preserve">KG.U 4000 KG
KG.VERTICAL 2000KG
KG.LAZO 1.600 KG </t>
  </si>
  <si>
    <t>SF-ESL-043</t>
  </si>
  <si>
    <t>ESLINGA DE IZAMIENTO DE CARGA
3.5¨X 1 MTS
AMARILLO</t>
  </si>
  <si>
    <t>ESLINCARGA / EC3B-1</t>
  </si>
  <si>
    <t xml:space="preserve">KG.U 8.400 KG
KG.VERTICAL 4.200KG
KG.LAZO 3.360 KG </t>
  </si>
  <si>
    <t>SF-ESL-044</t>
  </si>
  <si>
    <t>ESLINGA DE IZAMIENTO DE CARGA
3.5¨X 2 MTS
AMARILLO</t>
  </si>
  <si>
    <t>ESLINCARGA / EC3B-2</t>
  </si>
  <si>
    <t>SF-ESLA-001</t>
  </si>
  <si>
    <t>ESLINGA MODELO 11 DE 25.40 MM: 1´X 300 MTS DE CABLE DE ACERO AM AA ARD 180 050400055A</t>
  </si>
  <si>
    <t>BOA</t>
  </si>
  <si>
    <t>7.7  LAZO 5,7  CANASTA: 15,4</t>
  </si>
  <si>
    <t>ESLINGA MODELO 11: 050400035A CABLE DE ACERO 3/4" X 0,91 MTS</t>
  </si>
  <si>
    <t>__________</t>
  </si>
  <si>
    <t xml:space="preserve">VERTICAL: 4.448 KG
LAZO: 3.268 KG
CESTA:8.806 KG </t>
  </si>
  <si>
    <t>ESLINGA MODELO 11: 050400035A CABLE DE ACERO 3/4" X 1MTS</t>
  </si>
  <si>
    <t>ESLINGA POLIESTER ALTA TENACIDAD (AMARRILLO)
9CMX 3MTS
9CM X 1MTS</t>
  </si>
  <si>
    <t>162418/ 162419/ 162420/ 162421/ 162422/ 162423/ 162424/ 162425</t>
  </si>
  <si>
    <t>6000 KG A 8400 KG</t>
  </si>
  <si>
    <t>SF-ESL-053/062</t>
  </si>
  <si>
    <t>ESLINGA SINTETICA AMARRE 4X8 M</t>
  </si>
  <si>
    <t>S/I</t>
  </si>
  <si>
    <t>EN-12195-2</t>
  </si>
  <si>
    <t>3750 KG</t>
  </si>
  <si>
    <t>ESLIGAS DE LA BATEA</t>
  </si>
  <si>
    <t>GRILLETES</t>
  </si>
  <si>
    <t>2IJ / 5MX
V5-1 / V5-2
5EG</t>
  </si>
  <si>
    <t>CROSBY
CAMBEL
CM</t>
  </si>
  <si>
    <t>3/4/ 4750 KG
3/4/ 4750 KG
3/4/ 6500 KG</t>
  </si>
  <si>
    <t>5NX
DCH-1/2/3/4</t>
  </si>
  <si>
    <t>CROSBY
KOREA</t>
  </si>
  <si>
    <t>DW1-1 / DW1-2
DT7-1/2/3/4</t>
  </si>
  <si>
    <t>TAIYO
TAIYO</t>
  </si>
  <si>
    <t xml:space="preserve">1 1/2 X 8 T
1 1/2 X 8 T
</t>
  </si>
  <si>
    <t>E-A (4 UND)</t>
  </si>
  <si>
    <t>CAMPBELL/ WLL</t>
  </si>
  <si>
    <t>TAMAÑO: 5/8´
CAPACIDAD:3.1/4´</t>
  </si>
  <si>
    <t>SOPORTE AJUSTABLE PARA 7 T</t>
  </si>
  <si>
    <t>7 T</t>
  </si>
  <si>
    <t>SOPORTE FIJO PARA 7 T</t>
  </si>
  <si>
    <t>TIPO FIJO</t>
  </si>
  <si>
    <t>SF-741</t>
  </si>
  <si>
    <t>VALVULA COMPUERTA</t>
  </si>
  <si>
    <t>KENNEDY / C509KSMJXMJ</t>
  </si>
  <si>
    <t>TAMAÑO: 3"
COLOR: ROJO
RATING: 150</t>
  </si>
  <si>
    <t>SOTO FLOW</t>
  </si>
  <si>
    <t>SF-742</t>
  </si>
  <si>
    <t>VALVULA DE BOLA</t>
  </si>
  <si>
    <t>SF-743</t>
  </si>
  <si>
    <t>VALVULA DE COMPUERTAS</t>
  </si>
  <si>
    <t>KENNEDY / S/I</t>
  </si>
  <si>
    <t>TAMAÑO: 4"
COLOR: ROJO
RATING: 150</t>
  </si>
  <si>
    <t>SF-744</t>
  </si>
  <si>
    <t>TAMAÑO: 2 1/2"
COLOR: ROJO
RATING: 150</t>
  </si>
  <si>
    <t>SF-745</t>
  </si>
  <si>
    <t>W00465275</t>
  </si>
  <si>
    <t>VIKING/F-1 (PASO RECTO)</t>
  </si>
  <si>
    <t>SF-746</t>
  </si>
  <si>
    <t>VALVULA DE DILUVIO</t>
  </si>
  <si>
    <t>970903A-29</t>
  </si>
  <si>
    <t>FLOW CONTROL / MODELO 31 TC</t>
  </si>
  <si>
    <t>TAMAÑO: 3"
COLOR: PLATEADO
RATING: 150</t>
  </si>
  <si>
    <t>SF-621</t>
  </si>
  <si>
    <t>VALVULA DE SEGURIDAD</t>
  </si>
  <si>
    <t>10-00083</t>
  </si>
  <si>
    <t>CROSBY/  JLT-JOS-E-OR-15-A</t>
  </si>
  <si>
    <t/>
  </si>
  <si>
    <t>BG-2</t>
  </si>
  <si>
    <t>SF-622</t>
  </si>
  <si>
    <t>10-00077</t>
  </si>
  <si>
    <t>SF-623</t>
  </si>
  <si>
    <t>T10-00076</t>
  </si>
  <si>
    <t>SF-624</t>
  </si>
  <si>
    <t>T-09-25172</t>
  </si>
  <si>
    <t>CROSBY/ 81PS1F68-8</t>
  </si>
  <si>
    <t>SF-736</t>
  </si>
  <si>
    <t>20035602F20</t>
  </si>
  <si>
    <t xml:space="preserve">CLA VA/ 55L </t>
  </si>
  <si>
    <t>TAMAÑO: 3/4"
RATING: NPT</t>
  </si>
  <si>
    <t>MAQUINARIA</t>
  </si>
  <si>
    <t>SMP-464</t>
  </si>
  <si>
    <t xml:space="preserve"> VACUUM (PIN)</t>
  </si>
  <si>
    <t>0811253</t>
  </si>
  <si>
    <t>FREE WAYS 
PLACA: 36X SAR</t>
  </si>
  <si>
    <t>ZONA INDUSTRIAL</t>
  </si>
  <si>
    <t>BARRA DE IZAMIENTO</t>
  </si>
  <si>
    <t>10000 KG
LARGO: 3,28 M
ANCHO 0,15 M 
ALTO: 0,65 M</t>
  </si>
  <si>
    <t>BARRA/ VIGA DE IZAMIENTO PARA PRUEBAS DE CARGAS A PUENTES GRUAS</t>
  </si>
  <si>
    <t>BATEA DE 3 EJE</t>
  </si>
  <si>
    <t>FREE WAYS/ SPT</t>
  </si>
  <si>
    <t>32 TON</t>
  </si>
  <si>
    <t>BOSCAN</t>
  </si>
  <si>
    <t>PTBGD-02</t>
  </si>
  <si>
    <t>CUNA DE TURBINA</t>
  </si>
  <si>
    <t xml:space="preserve">           ______</t>
  </si>
  <si>
    <t>DOLLY</t>
  </si>
  <si>
    <t>4500 KG</t>
  </si>
  <si>
    <t>GRUA MONORIEL</t>
  </si>
  <si>
    <t>ZLG-6143</t>
  </si>
  <si>
    <t>CHESTER / ZEPHYR</t>
  </si>
  <si>
    <t>10.000 KGS</t>
  </si>
  <si>
    <t>ZLG-6087
189083189
189083649</t>
  </si>
  <si>
    <t>BG-1</t>
  </si>
  <si>
    <t>TOYO CHAIN BLOCK / GCT610-3-ST</t>
  </si>
  <si>
    <t>3T</t>
  </si>
  <si>
    <t>GRUA PUENTE</t>
  </si>
  <si>
    <t>261-3310</t>
  </si>
  <si>
    <t>TIGER</t>
  </si>
  <si>
    <t>HLW24648</t>
  </si>
  <si>
    <t>R&amp;M /SX30410032P25FALOF</t>
  </si>
  <si>
    <t>3.200 KGS</t>
  </si>
  <si>
    <t>HLW25869</t>
  </si>
  <si>
    <t>R&amp;M /SX50610150P55FDNOF</t>
  </si>
  <si>
    <t>15.000 KGS</t>
  </si>
  <si>
    <t>TALLER MECANICO</t>
  </si>
  <si>
    <t>SML-406</t>
  </si>
  <si>
    <t>GRUA SOBRE CAMION COMERCIAL</t>
  </si>
  <si>
    <t>FERRARI / IBP 30500XL/4SI</t>
  </si>
  <si>
    <t>13.500 KGS</t>
  </si>
  <si>
    <t>S-LF-01</t>
  </si>
  <si>
    <t>LIFT FIXTURE (ACCESORIO DE ASCENSOR)</t>
  </si>
  <si>
    <t>288870-C</t>
  </si>
  <si>
    <t>CAPACIDAD NOMINAL: 9.299 KG
CAPACIDAD SEGURO: 7439 KG</t>
  </si>
  <si>
    <t>SML-401</t>
  </si>
  <si>
    <t>MANLIFT</t>
  </si>
  <si>
    <t>021014-0300022330</t>
  </si>
  <si>
    <t>JLG/ 60H</t>
  </si>
  <si>
    <t>450 KG</t>
  </si>
  <si>
    <t>SML-400</t>
  </si>
  <si>
    <t>MONTACARGA</t>
  </si>
  <si>
    <t>CGP460G-0887-9450FB</t>
  </si>
  <si>
    <t>CLARK/ CGP50</t>
  </si>
  <si>
    <t>4 T</t>
  </si>
  <si>
    <t>S-163</t>
  </si>
  <si>
    <t>QUINTA RUEDA</t>
  </si>
  <si>
    <t>C06004862T</t>
  </si>
  <si>
    <t>HOLLAND/FREI
GHTLINER
PLACA: 80FDAN</t>
  </si>
  <si>
    <t>46 TON</t>
  </si>
  <si>
    <t>PWS2</t>
  </si>
  <si>
    <t>FO8002226T</t>
  </si>
  <si>
    <t>HOLLAND/ MACK
PLACA: 08M MAF</t>
  </si>
  <si>
    <t>RETRO EXCAVADORA</t>
  </si>
  <si>
    <t>SM-452</t>
  </si>
  <si>
    <t>T0310X161698</t>
  </si>
  <si>
    <t>JOHN DEERE/ 310J</t>
  </si>
  <si>
    <t>1 M3</t>
  </si>
  <si>
    <t>SMP-463</t>
  </si>
  <si>
    <t xml:space="preserve">VACUUM </t>
  </si>
  <si>
    <t>160 BARRILES</t>
  </si>
  <si>
    <t>ENLACE</t>
  </si>
  <si>
    <t>STATUS</t>
  </si>
  <si>
    <t>,</t>
  </si>
  <si>
    <t>C:\Users\Usuario\Mi unidad\SAMFOR\CALIDAD\2.- CERTIFICACIONES\CERTIFICACIONES SAMFOR\CERTIFICACIONES ACTUALES\CERTIFICADOS DE EQUIPOS\ALINEADOR LASER.PDF</t>
  </si>
  <si>
    <t>C:\Users\Usuario\Mi unidad\SAMFOR\CALIDAD\2.- CERTIFICACIONES\CERTIFICACIONES SAMFOR\CERTIFICACIONES ACTUALES\CERTIFICADOS DE EQUIPOS\MANOMETRO B09JDP6K1.PDF</t>
  </si>
  <si>
    <t>C:\Users\Usuario\Mi unidad\SAMFOR\CALIDAD\2.- CERTIFICACIONES\CERTIFICACIONES SAMFOR\CERTIFICACIONES ACTUALES\CERTIFICADOS DE EQUIPOS\CALIBRADOR DE TEMPERATURA 40826.PDF</t>
  </si>
  <si>
    <t>C:\Users\Usuario\Mi unidad\SAMFOR\CALIDAD\2.- CERTIFICACIONES\CERTIFICACIONES SAMFOR\CERTIFICACIONES ACTUALES\CERTIFICADOS DE EQUIPOS\COMPARADOR DE CUADRANTE CA25SLBF84.pdf</t>
  </si>
  <si>
    <t>C:\Users\Usuario\Mi unidad\SAMFOR\CALIDAD\2.- CERTIFICACIONES\CERTIFICACIONES SAMFOR\CERTIFICACIONES ACTUALES\CERTIFICADOS DE EQUIPOS\COMPARADOR DE CUADRANTE CA25SL6538.pdf</t>
  </si>
  <si>
    <t>C:\Users\Usuario\Mi unidad\SAMFOR\CALIDAD\2.- CERTIFICACIONES\CERTIFICACIONES SAMFOR\CERTIFICACIONES ACTUALES\CERTIFICADOS DE EQUIPOS\COMUNICADOR HART 11099676.PDF</t>
  </si>
  <si>
    <t>C:\Users\Usuario\Mi unidad\SAMFOR\CALIDAD\2.- CERTIFICACIONES\CERTIFICACIONES SAMFOR\CERTIFICACIONES ACTUALES\CERTIFICADOS DE EQUIPOS\COMUNICADOR DE CAMPO 4540536.pdf</t>
  </si>
  <si>
    <t>C:\Users\Usuario\Mi unidad\SAMFOR\CALIDAD\2.- CERTIFICACIONES\CERTIFICACIONES SAMFOR\CERTIFICACIONES ACTUALES\CERTIFICADOS DE EQUIPOS\DETECTOR DE GAS SF6 4199.pdf</t>
  </si>
  <si>
    <t>C:\Users\Usuario\Mi unidad\SAMFOR\CALIDAD\2.- CERTIFICACIONES\CERTIFICACIONES SAMFOR\CERTIFICACIONES ACTUALES\CERTIFICADOS DE EQUIPOS\DETECTOR MULTIGAS 20240121051.pdf</t>
  </si>
  <si>
    <t>C:\Users\Usuario\Mi unidad\SAMFOR\CALIDAD\2.- CERTIFICACIONES\CERTIFICACIONES SAMFOR\CERTIFICACIONES ACTUALES\CERTIFICADOS DE EQUIPOS\DETECTOR MULTIGAS ARXM 0500.PDF</t>
  </si>
  <si>
    <t>C:\Users\Usuario\Mi unidad\SAMFOR\CALIDAD\2.- CERTIFICACIONES\CERTIFICACIONES SAMFOR\CERTIFICACIONES ACTUALES\CERTIFICADOS DE EQUIPOS\DETECTOR MULTIGAS N20230820382.PDF</t>
  </si>
  <si>
    <t>C:\Users\Usuario\Mi unidad\SAMFOR\CALIDAD\2.- CERTIFICACIONES\CERTIFICACIONES SAMFOR\CERTIFICACIONES ACTUALES\CERTIFICADOS DE EQUIPOS\DTX-1800 1665023.pdf</t>
  </si>
  <si>
    <t>C:\Users\Usuario\Mi unidad\SAMFOR\CALIDAD\2.- CERTIFICACIONES\CERTIFICACIONES SAMFOR\CERTIFICACIONES ACTUALES\CERTIFICADOS DE EQUIPOS\DTX-1855616.pdf</t>
  </si>
  <si>
    <t>C:\Users\Usuario\Mi unidad\SAMFOR\CALIDAD\2.- CERTIFICACIONES\CERTIFICACIONES SAMFOR\CERTIFICACIONES ACTUALES\CERTIFICADOS DE EQUIPOS\DTX-1800 181369 1813070.pdf</t>
  </si>
  <si>
    <t>C:\Users\Usuario\Mi unidad\SAMFOR\CALIDAD\2.- CERTIFICACIONES\CERTIFICACIONES SAMFOR\CERTIFICACIONES ACTUALES\CERTIFICADOS DE EQUIPOS\DTX 1800 1855623.pdf</t>
  </si>
  <si>
    <t>C:\Users\Usuario\Mi unidad\SAMFOR\CALIDAD\2.- CERTIFICACIONES\certificaciones samfor\CERTIFICACIONES ACTUALES\CERTIFICADOS DE EQUIPOS\DTX-1800 9670008.pdf</t>
  </si>
  <si>
    <t>409560 B</t>
  </si>
  <si>
    <t>C:\Users\Usuario\Mi unidad\SAMFOR\CALIDAD\2.- CERTIFICACIONES\CERTIFICACIONES SAMFOR\CERTIFICACIONES ACTUALES\CERTIFICADOS DE EQUIPOS\GUANTES DIELECTRICO CLASS 0 TIPO 1 4095607B.PDF</t>
  </si>
  <si>
    <t>C:\Users\Usuario\Mi unidad\SAMFOR\CALIDAD\2.- CERTIFICACIONES\CERTIFICACIONES SAMFOR\CERTIFICACIONES ACTUALES\CERTIFICADOS DE EQUIPOS\GUANTES DIELÉCTRICO S 5332860 5332859.PDF</t>
  </si>
  <si>
    <t>C:\Users\Usuario\Mi unidad\SAMFOR\CALIDAD\2.- CERTIFICACIONES\CERTIFICACIONES SAMFOR\CERTIFICACIONES ACTUALES\CERTIFICADOS DE EQUIPOS\MODEM HART DE BAJA ENERGÍA BLUETOOTH 1230155.PDF</t>
  </si>
  <si>
    <t>C:\Users\Usuario\Mi unidad\SAMFOR\CALIDAD\2.- CERTIFICACIONES\CERTIFICACIONES SAMFOR\CERTIFICACIONES ACTUALES\CERTIFICADOS DE EQUIPOS\MANOMETRO 6185365.PDF</t>
  </si>
  <si>
    <t>C:\Users\Usuario\Mi unidad\SAMFOR\CALIDAD\2.- CERTIFICACIONES\CERTIFICACIONES SAMFOR\CERTIFICACIONES ACTUALES\CERTIFICADOS DE EQUIPOS\MEGGER Y MULTIMETRO 110870SADV.pdf</t>
  </si>
  <si>
    <t>C:\Users\Usuario\Mi unidad\SAMFOR\CALIDAD\2.- CERTIFICACIONES\CERTIFICACIONES SAMFOR\CERTIFICACIONES ACTUALES\CERTIFICADOS DE EQUIPOS\MULTIMETRO 62210118.PDF</t>
  </si>
  <si>
    <t>C:\Users\Usuario\Mi unidad\SAMFOR\CALIDAD\2.- CERTIFICACIONES\CERTIFICACIONES SAMFOR\CERTIFICACIONES ACTUALES\CERTIFICADOS DE EQUIPOS\MULTIMETRO DIGITAL 62220102MV .pdf</t>
  </si>
  <si>
    <t>C:\Users\Usuario\Mi unidad\SAMFOR\CALIDAD\2.- CERTIFICACIONES\CERTIFICACIONES SAMFOR\CERTIFICACIONES ACTUALES\CERTIFICADOS DE EQUIPOS\MULTIMETRO 10510101.PDF</t>
  </si>
  <si>
    <t>C:\Users\Usuario\Mi unidad\SAMFOR\CALIDAD\2.- CERTIFICACIONES\CERTIFICACIONES SAMFOR\CERTIFICACIONES ACTUALES\CERTIFICADOS DE EQUIPOS\MULTIMETRO 34420225WS.PDF</t>
  </si>
  <si>
    <t>E2011687</t>
  </si>
  <si>
    <t>C:\Users\Usuario\Mi unidad\SAMFOR\CALIDAD\2.- CERTIFICACIONES\CERTIFICACIONES SAMFOR\CERTIFICACIONES ACTUALES\CERTIFICADOS DE EQUIPOS\MULTIMETRO 0003366- E2011687 .PDF</t>
  </si>
  <si>
    <t>C:\Users\Usuario\Mi unidad\SAMFOR\CALIDAD\2.- CERTIFICACIONES\CERTIFICACIONES SAMFOR\CERTIFICACIONES ACTUALES\CERTIFICADOS DE EQUIPOS\MULTIMETRO 65560064.pdf</t>
  </si>
  <si>
    <t>C:\Users\Usuario\Mi unidad\SAMFOR\CALIDAD\2.- CERTIFICACIONES\CERTIFICACIONES SAMFOR\CERTIFICACIONES ACTUALES\CERTIFICADOS DE EQUIPOS\MULTIMETRO Y MEGGER 93620040.PDF</t>
  </si>
  <si>
    <t>C:\Users\Usuario\Mi unidad\SAMFOR\CALIDAD\2.- CERTIFICACIONES\CERTIFICACIONES SAMFOR\CERTIFICACIONES ACTUALES\CERTIFICADOS DE EQUIPOS\PINZA AMPERIMETRICA 64780046WS.pdf</t>
  </si>
  <si>
    <t>C:\Users\Usuario\Mi unidad\SAMFOR\CALIDAD\2.- CERTIFICACIONES\CERTIFICACIONES SAMFOR\CERTIFICACIONES ACTUALES\CERTIFICADOS DE EQUIPOS\PINZA AMPERIMETRICA 65340132WS UCS-E-0079-25.pdf</t>
  </si>
  <si>
    <t>C:\Users\Usuario\Mi unidad\SAMFOR\CALIDAD\2.- CERTIFICACIONES\CERTIFICACIONES SAMFOR\CERTIFICACIONES ACTUALES\CERTIFICADOS DE EQUIPOS\PINZA AMPERIMETRICA 62500107.pdf</t>
  </si>
  <si>
    <t>C:\Users\Usuario\Mi unidad\SAMFOR\CALIDAD\2.- CERTIFICACIONES\CERTIFICACIONES SAMFOR\CERTIFICACIONES ACTUALES\CERTIFICADOS DE EQUIPOS\PINZA AMPERIMETRICA 64011048WS UCS-E-0080-25.pdf</t>
  </si>
  <si>
    <t>C:\Users\Usuario\Mi unidad\SAMFOR\CALIDAD\2.- CERTIFICACIONES\CERTIFICACIONES SAMFOR\CERTIFICACIONES ACTUALES\CERTIFICADOS DE EQUIPOS\PINZA AMPERIMETRICA 64083149WS UCS-E-0081-25.pdf</t>
  </si>
  <si>
    <t>C:\Users\Usuario\Mi unidad\SAMFOR\CALIDAD\2.- CERTIFICACIONES\CERTIFICACIONES SAMFOR\CERTIFICACIONES ACTUALES\CERTIFICADOS DE EQUIPOS\PINZA AMPERIMETRICA 1308640099.PDF</t>
  </si>
  <si>
    <t>C:\Users\Usuario\Mi unidad\SAMFOR\CALIDAD\2.- CERTIFICACIONES\certificaciones samfor\CERTIFICACIONES ACTUALES\CERTIFICADOS DE EQUIPOS\PINZA AMPERIMETRICA 65960628MV.pdf</t>
  </si>
  <si>
    <t>C:\Users\Usuario\Mi unidad\SAMFOR\CALIDAD\2.- CERTIFICACIONES\certificaciones samfor\CERTIFICACIONES ACTUALES\CERTIFICADOS DE EQUIPOS\PINZA AMPERIMETRICA 8-555725.pdf</t>
  </si>
  <si>
    <t>C:\Users\Usuario\Mi unidad\SAMFOR\CALIDAD\2.- CERTIFICACIONES\CERTIFICACIONES SAMFOR\CERTIFICACIONES ACTUALES\CERTIFICADOS DE EQUIPOS\POLIPASTO MANUAL DE CADENA 5309.pdf</t>
  </si>
  <si>
    <t>C:\Users\Usuario\Mi unidad\SAMFOR\CALIDAD\2.- CERTIFICACIONES\CERTIFICACIONES SAMFOR\CERTIFICACIONES ACTUALES\CERTIFICADOS DE EQUIPOS\GRUA MANUAL F00010 SAMFOR .pdf</t>
  </si>
  <si>
    <t>C:\Users\Usuario\Mi unidad\SAMFOR\CALIDAD\2.- CERTIFICACIONES\CERTIFICACIONES SAMFOR\CERTIFICACIONES ACTUALES\CERTIFICADOS DE EQUIPOS\GRUA MANUAL VB0001.pdf</t>
  </si>
  <si>
    <t>C:\Users\Usuario\Mi unidad\SAMFOR\CALIDAD\2.- CERTIFICACIONES\CERTIFICACIONES SAMFOR\CERTIFICACIONES ACTUALES\CERTIFICADOS DE EQUIPOS\GRUA MANUAL VB0002 .pdf</t>
  </si>
  <si>
    <t>C:\Users\Usuario\Mi unidad\SAMFOR\CALIDAD\2.- CERTIFICACIONES\CERTIFICACIONES SAMFOR\CERTIFICACIONES ACTUALES\CERTIFICADOS DE EQUIPOS\ROTAMETRO D12301796.pdf</t>
  </si>
  <si>
    <t>C:\Users\Usuario\Mi unidad\SAMFOR\CALIDAD\2.- CERTIFICACIONES\CERTIFICACIONES SAMFOR\CERTIFICACIONES ACTUALES\CERTIFICADOS DE EQUIPOS\ROTAMETRO D12301797.pdf</t>
  </si>
  <si>
    <t>C:\Users\Usuario\Mi unidad\SAMFOR\CALIDAD\2.- CERTIFICACIONES\CERTIFICACIONES SAMFOR\CERTIFICACIONES ACTUALES\CERTIFICADOS DE EQUIPOS\ROTAMETRO D12301798.pdf</t>
  </si>
  <si>
    <t>C:\Users\Usuario\Mi unidad\SAMFOR\CALIDAD\2.- CERTIFICACIONES\CERTIFICACIONES SAMFOR\CERTIFICACIONES ACTUALES\CERTIFICADOS DE EQUIPOS\SONOMETRO 1100778043.PDF</t>
  </si>
  <si>
    <t>C:\Users\Usuario\Mi unidad\SAMFOR\CALIDAD\2.- CERTIFICACIONES\CERTIFICACIONES SAMFOR\CERTIFICACIONES ACTUALES\CERTIFICADOS DE EQUIPOS\TORQUIMETRO DE 38 SF-T-02 EPANLO.PDF</t>
  </si>
  <si>
    <t>C:\Users\Usuario\Mi unidad\SAMFOR\CALIDAD\2.- CERTIFICACIONES\CERTIFICACIONES SAMFOR\CERTIFICACIONES ACTUALES\CERTIFICADOS EXTINTORES\Certificado de C02 BG-1.pdf</t>
  </si>
  <si>
    <t>C:\Users\Usuario\Mi unidad\SAMFOR\CALIDAD\2.- CERTIFICACIONES\CERTIFICACIONES SAMFOR\CERTIFICACIONES ACTUALES\CERTIFICADOS EXTINTORES\Bombonas CO2 Bg2.pdf</t>
  </si>
  <si>
    <t>C:\Users\Usuario\Mi unidad\SAMFOR\CALIDAD\2.- CERTIFICACIONES\CERTIFICACIONES SAMFOR\CERTIFICACIONES ACTUALES\CERTIFICADOS DE HERRAMIENTAS\APARAEJOS DE IZAMIENTO (CANCAMOS).pdf</t>
  </si>
  <si>
    <t>C:\Users\Usuario\Mi unidad\SAMFOR\CALIDAD\2.- CERTIFICACIONES\CERTIFICACIONES SAMFOR\CERTIFICACIONES ACTUALES\CERTIFICADOS DE HERRAMIENTAS\APAREJOS DE IZAMIENTO (CANCAMOS) BG-1 y BG-2.pdf</t>
  </si>
  <si>
    <t>C:\Users\Usuario\Mi unidad\SAMFOR\CALIDAD\2.- CERTIFICACIONES\CERTIFICACIONES SAMFOR\CERTIFICACIONES ACTUALES\CERTIFICADOS DE HERRAMIENTAS\ARNES SFAR001.PDF</t>
  </si>
  <si>
    <t>C:\Users\Usuario\Mi unidad\SAMFOR\CALIDAD\2.- CERTIFICACIONES\CERTIFICACIONES SAMFOR\CERTIFICACIONES ACTUALES\CERTIFICADOS DE HERRAMIENTAS\ARNES SFAR002.PDF</t>
  </si>
  <si>
    <t>C:\Users\Usuario\Mi unidad\SAMFOR\CALIDAD\2.- CERTIFICACIONES\CERTIFICACIONES SAMFOR\CERTIFICACIONES ACTUALES\CERTIFICADOS DE HERRAMIENTAS\ARNÉS Y CABO DE VIDA 005 007.PDF</t>
  </si>
  <si>
    <t>C:\Users\Usuario\Mi unidad\SAMFOR\CALIDAD\2.- CERTIFICACIONES\CERTIFICACIONES SAMFOR\CERTIFICACIONES ACTUALES\CERTIFICADOS DE HERRAMIENTAS\CABLE ACERO 1” X 3 MTS.pdf</t>
  </si>
  <si>
    <t>C:\Users\Usuario\Mi unidad\SAMFOR\CALIDAD\2.- CERTIFICACIONES\CERTIFICACIONES SAMFOR\CERTIFICACIONES ACTUALES\CERTIFICADOS DE HERRAMIENTAS\ESLINGA 162418 29. 112417 18. 142409 10.PDF</t>
  </si>
  <si>
    <t>C:\Users\Usuario\Mi unidad\SAMFOR\CALIDAD\2.- CERTIFICACIONES\CERTIFICACIONES SAMFOR\CERTIFICACIONES ACTUALES\CERTIFICADOS DE HERRAMIENTAS\ESLINGA SINTETICA BLANCA EC2B-2B EC3B-1B EC3B-2B EC3B-3B EC4B-3B .PDF</t>
  </si>
  <si>
    <t>C:\Users\Usuario\Mi unidad\SAMFOR\CALIDAD\2.- CERTIFICACIONES\CERTIFICACIONES SAMFOR\CERTIFICACIONES ACTUALES\CERTIFICADOS DE HERRAMIENTAS\ESLINGA 482438.pdf</t>
  </si>
  <si>
    <t>C:\Users\Usuario\Mi unidad\SAMFOR\CALIDAD\2.- CERTIFICACIONES\CERTIFICACIONES SAMFOR\CERTIFICACIONES ACTUALES\CERTIFICADOS DE HERRAMIENTAS\ESLINGA 382403.PDF</t>
  </si>
  <si>
    <t>C:\Users\Usuario\Mi unidad\SAMFOR\CALIDAD\2.- CERTIFICACIONES\CERTIFICACIONES SAMFOR\CERTIFICACIONES ACTUALES\CERTIFICADOS DE HERRAMIENTAS\ESLINGA DE IZAMIENTO DE CARGA2 X 2 MTSNARANJA 092507 092508 092509 092510.pdf</t>
  </si>
  <si>
    <t>C:\Users\Usuario\Mi unidad\SAMFOR\CALIDAD\2.- CERTIFICACIONES\CERTIFICACIONES SAMFOR\CERTIFICACIONES ACTUALES\CERTIFICADOS DE HERRAMIENTAS\ESLINGA_POLIESTER_ALTA_TENACIDAD_(AMARRILLO)9CMX_3MTS9CM_X_1MTS_162418_162425.pdf</t>
  </si>
  <si>
    <t>C:\Users\Usuario\Mi unidad\SAMFOR\CALIDAD\2.- CERTIFICACIONES\CERTIFICACIONES SAMFOR\CERTIFICACIONES ACTUALES\CERTIFICADOS DE HERRAMIENTAS\ESLINGA SINTETICA AMARRE 4 x 8m (10)_(SF-ESL-53 al 62).pdf</t>
  </si>
  <si>
    <t>C:\Users\Usuario\Mi unidad\SAMFOR\CALIDAD\2.- CERTIFICACIONES\CERTIFICACIONES SAMFOR\CERTIFICACIONES ACTUALES\CERTIFICADOS DE HERRAMIENTAS\GRILLETES ¾ x 4¾t (2)_(2IJ-5HK-V51-V52-5EG)_10-2025.pdf</t>
  </si>
  <si>
    <t>C:\Users\Usuario\Mi unidad\SAMFOR\CALIDAD\2.- CERTIFICACIONES\CERTIFICACIONES SAMFOR\CERTIFICACIONES ACTUALES\CERTIFICADOS DE HERRAMIENTAS\GRILLETES ⅞ x 6½t (5)_(5NX-DCH-1,2,3,4)_10-2025.pdf</t>
  </si>
  <si>
    <t>C:\Users\Usuario\Mi unidad\SAMFOR\CALIDAD\2.- CERTIFICACIONES\CERTIFICACIONES SAMFOR\CERTIFICACIONES ACTUALES\CERTIFICADOS DE HERRAMIENTAS\GRILLETES 1½ x 17t (6)_(DW1-1,2- DT7-1,2,3,4)_10-2025.pdf</t>
  </si>
  <si>
    <t>C:\Users\Usuario\Mi unidad\SAMFOR\CALIDAD\2.- CERTIFICACIONES\CERTIFICACIONES SAMFOR\CERTIFICACIONES ACTUALES\CERTIFICADOS DE HERRAMIENTAS\SOPORTE AJUSTABLE Y FIJO 7T.pdf</t>
  </si>
  <si>
    <t>C:\Users\Usuario\Mi unidad\SAMFOR\CALIDAD\2.- CERTIFICACIONES\CERTIFICACIONES SAMFOR\CERTIFICACIONES ACTUALES\CERTIFICADOS DE HERRAMIENTAS\VALVULAS DE SEGURIDAD BG-2\CERTIFICADO SF-621.pdf</t>
  </si>
  <si>
    <t>C:\Users\Usuario\Mi unidad\SAMFOR\CALIDAD\2.- CERTIFICACIONES\CERTIFICACIONES SAMFOR\CERTIFICACIONES ACTUALES\CERTIFICADOS DE HERRAMIENTAS\VALVULAS DE SEGURIDAD BG-2\CERTIFICADO SF-622.pdf</t>
  </si>
  <si>
    <t>C:\Users\Usuario\Mi unidad\SAMFOR\CALIDAD\2.- CERTIFICACIONES\CERTIFICACIONES SAMFOR\CERTIFICACIONES ACTUALES\CERTIFICADOS DE HERRAMIENTAS\VALVULAS DE SEGURIDAD BG-2\CERTIFICADO SF-623.pdf</t>
  </si>
  <si>
    <t>C:\Users\Usuario\Mi unidad\SAMFOR\CALIDAD\2.- CERTIFICACIONES\CERTIFICACIONES SAMFOR\CERTIFICACIONES ACTUALES\CERTIFICADOS DE HERRAMIENTAS\VALVULAS DE SEGURIDAD BG-2\CERTIFICADO SF-624.pdf</t>
  </si>
  <si>
    <t>C:\Users\Usuario\Mi unidad\SAMFOR\CALIDAD\2.- CERTIFICACIONES\CERTIFICACIONES SAMFOR\CERTIFICACIONES ACTUALES\CERTIFICADOS DE MAQUINARIA PESADA\BARRA IZAMIENTO PTBG-01 PETROBOSCAN.pdf</t>
  </si>
  <si>
    <t>C:\Users\Usuario\Mi unidad\SAMFOR\CALIDAD\2.- CERTIFICACIONES\CERTIFICACIONES SAMFOR\CERTIFICACIONES ACTUALES\CERTIFICADOS DE MAQUINARIA PESADA\PIN REY BATEA 50t_A90AD7L SAMFOR.pdf</t>
  </si>
  <si>
    <t>C:\Users\Usuario\Mi unidad\SAMFOR\CALIDAD\2.- CERTIFICACIONES\CERTIFICACIONES SAMFOR\CERTIFICACIONES ACTUALES\CERTIFICADOS DE MAQUINARIA PESADA\GRÚA MONORRIEL ZLG-6087 PETROBOSCAN.pdf</t>
  </si>
  <si>
    <t>C:\Users\Usuario\Mi unidad\SAMFOR\CALIDAD\2.- CERTIFICACIONES\CERTIFICACIONES SAMFOR\CERTIFICACIONES ACTUALES\CERTIFICADOS DE MAQUINARIA PESADA\GRUA MONORRIEL  ZLG-6143.PDF</t>
  </si>
  <si>
    <t>C:\Users\Usuario\Mi unidad\SAMFOR\CALIDAD\2.- CERTIFICACIONES\CERTIFICACIONES SAMFOR\CERTIFICACIONES ACTUALES\CERTIFICADOS DE MAQUINARIA PESADA\GRÚA PUENTE HLW24648 PETROBOSCAN.pdf</t>
  </si>
  <si>
    <t>C:\Users\Usuario\Mi unidad\SAMFOR\CALIDAD\2.- CERTIFICACIONES\CERTIFICACIONES SAMFOR\CERTIFICACIONES ACTUALES\CERTIFICADOS DE MAQUINARIA PESADA\GRÚA PUENTE HLW25869 PETROBOSCAN.pdf</t>
  </si>
  <si>
    <t>C:\Users\Usuario\Mi unidad\SAMFOR\CALIDAD\2.- CERTIFICACIONES\CERTIFICACIONES SAMFOR\CERTIFICACIONES ACTUALES\CERTIFICADOS DE MAQUINARIA PESADA\MANLIFT ELEVADOR DE PERSONAL 021014-0300022330.pdf</t>
  </si>
  <si>
    <t>C:\Users\Usuario\Mi unidad\SAMFOR\CALIDAD\2.- CERTIFICACIONES\CERTIFICACIONES SAMFOR\CERTIFICACIONES ACTUALES\CERTIFICADOS DE MAQUINARIA PESADA\QUINTA RUEDA FO8002226T PWS2.pdf</t>
  </si>
  <si>
    <t>C:\Users\Usuario\Mi unidad\SAMFOR\CALIDAD\2.- CERTIFICACIONES\CERTIFICACIONES SAMFOR\CERTIFICACIONES ACTUALES\CERTIFICADOS DE MAQUINARIA PESADA\GRÚA ARTICULADA 2664 SAMFOR.pdf</t>
  </si>
  <si>
    <t>162418/162419/162420/162421-NO APTO</t>
  </si>
  <si>
    <t>092505-NO APTO</t>
  </si>
  <si>
    <t>SF-POL-001</t>
  </si>
  <si>
    <t>SF-POL-002</t>
  </si>
  <si>
    <t>SF-POL-003</t>
  </si>
  <si>
    <t>SF-POL-004</t>
  </si>
  <si>
    <t>SF-POL-005</t>
  </si>
  <si>
    <t>SF-POL-006</t>
  </si>
  <si>
    <t>ESLINGA DE IZAMIENTO 3,5¨X 3 MTS AMARILLA</t>
  </si>
  <si>
    <t>492504 / 492505 / 492506</t>
  </si>
  <si>
    <t>472550 / 472551 / 472552 / 4425/15</t>
  </si>
  <si>
    <t>ESLINCARGA / EC3B-3</t>
  </si>
  <si>
    <t>ESLINCARGA / EC1B-1B</t>
  </si>
  <si>
    <t>KG.U 2000
KG.VERTICAL 1000
KG.LAZO 800</t>
  </si>
  <si>
    <t>C:\Users\Usuario\Mi unidad\SAMFOR\CALIDAD\2.- CERTIFICACIONES\CERTIFICACIONES SAMFOR\CERTIFICACIONES ACTUALES\CERTIFICADOS DE HERRAMIENTAS\ESLINGAS (1INCH x1M) 492504 492505 493506.pdf</t>
  </si>
  <si>
    <t>C:\Users\Usuario\Mi unidad\SAMFOR\CALIDAD\2.- CERTIFICACIONES\CERTIFICACIONES SAMFOR\CERTIFICACIONES ACTUALES\CERTIFICADOS DE HERRAMIENTAS\ESLINGAS (3.5 INCH X 3m) 472550 472551 472552 442515.pdf</t>
  </si>
  <si>
    <t>SA2S4</t>
  </si>
  <si>
    <t>SA1S4</t>
  </si>
  <si>
    <t>SA95397</t>
  </si>
  <si>
    <t>SB01227</t>
  </si>
  <si>
    <t>1" X  1-2"/NPT</t>
  </si>
  <si>
    <t>CONSOLIDATED/ 19226LCF</t>
  </si>
  <si>
    <t>T0310JX161698</t>
  </si>
  <si>
    <t>SF-ESL-063</t>
  </si>
  <si>
    <t>SF-ESL-064</t>
  </si>
  <si>
    <t>SF-ESL-065</t>
  </si>
  <si>
    <t>SF-ESL-070/072</t>
  </si>
  <si>
    <t>ESLINGA SINTETICA AMARRE 4.7"X6 M</t>
  </si>
  <si>
    <t>OP24734-0060</t>
  </si>
  <si>
    <t xml:space="preserve">KG.U 8,000 KG
KG.VERTICAL 4.000KG
KG.LAZO 3.200 KG </t>
  </si>
  <si>
    <t>EE294</t>
  </si>
  <si>
    <t>NO APTA</t>
  </si>
  <si>
    <t>ESLINGA SINTETICA AMARRE 4.7"X4 M</t>
  </si>
  <si>
    <t>SF-ESL-066</t>
  </si>
  <si>
    <t>OP24734-0060-1</t>
  </si>
  <si>
    <t>SF-ESL-067/069</t>
  </si>
  <si>
    <t>SVP-209</t>
  </si>
  <si>
    <t>HOLLAND/ FW357553XL80
PLACA:A31AU1D</t>
  </si>
  <si>
    <t>C:\Users\Usuario\Mi unidad\SAMFOR\CALIDAD\2.- CERTIFICACIONES\CERTIFICACIONES SAMFOR\CERTIFICACIONES ACTUALES\CERTIFICADOS DE MAQUINARIA PESADA\QUINTA RUEDA SVP-209.pdf</t>
  </si>
  <si>
    <t>ITEM</t>
  </si>
  <si>
    <t>C:\Users\Usuario\Mi unidad\SAMFOR\CALIDAD\2.- CERTIFICACIONES\CERTIFICACIONES SAMFOR\CERTIFICACIONES ACTUALES\CERTIFICADOS DE HERRAMIENTAS\ESLINGA SINTETICA 4 x 4m (1) SF-ESL-064 .pdf</t>
  </si>
  <si>
    <t>C:\Users\Usuario\Mi unidad\SAMFOR\CALIDAD\2.- CERTIFICACIONES\CERTIFICACIONES SAMFOR\CERTIFICACIONES ACTUALES\CERTIFICADOS DE HERRAMIENTAS\ESLINGA SINTETICA 4 x 6m (1) SF-ESL-065 .pdf</t>
  </si>
  <si>
    <t>C:\Users\Usuario\Mi unidad\SAMFOR\CALIDAD\2.- CERTIFICACIONES\CERTIFICACIONES SAMFOR\CERTIFICACIONES ACTUALES\CERTIFICADOS DE HERRAMIENTAS\ESLINGA SINTETICA 4 x 6m (1) SF-ESL-066.pdf</t>
  </si>
  <si>
    <t>LITTLE MULE</t>
  </si>
  <si>
    <t>AMERICAN POWER</t>
  </si>
  <si>
    <t>C:\Users\Usuario\Mi unidad\SAMFOR\CALIDAD\2.- CERTIFICACIONES\CERTIFICACIONES SAMFOR\CERTIFICACIONES ACTUALES\CERTIFICADOS DE EQUIPOS\GRUA MANUAL SF-POL-001 .pdf</t>
  </si>
  <si>
    <t>C:\Users\Usuario\Mi unidad\SAMFOR\CALIDAD\2.- CERTIFICACIONES\CERTIFICACIONES SAMFOR\CERTIFICACIONES ACTUALES\CERTIFICADOS DE EQUIPOS\GRUA MANUAL SF-POL-002 .pdf</t>
  </si>
  <si>
    <t>C:\Users\Usuario\Mi unidad\SAMFOR\CALIDAD\2.- CERTIFICACIONES\CERTIFICACIONES SAMFOR\CERTIFICACIONES ACTUALES\CERTIFICADOS DE EQUIPOS\GRUA MANUAL 15071057 SF-POL-005 .pdf</t>
  </si>
  <si>
    <t>SF-ESL-033 NO APTA</t>
  </si>
  <si>
    <t>C:\Users\Usuario\Mi unidad\SAMFOR\CALIDAD\2.- CERTIFICACIONES\CERTIFICACIONES SAMFOR\CERTIFICACIONES ACTUALES\CERTIFICADOS DE HERRAMIENTAS\ESLINGA SINTETICA 3,5 x 3m SF-ESL-031, 032,033,034 .pdf</t>
  </si>
  <si>
    <t>FLUKE / 325</t>
  </si>
  <si>
    <t>ESLINGA DE IZAMIENTO 4,7¨X120 mm</t>
  </si>
  <si>
    <t>482519/482520/482521/392504</t>
  </si>
  <si>
    <t>ESLINCARGA / EP4B-4</t>
  </si>
  <si>
    <t>KG.U 8000
KG.VERTICAL 4000
KG.LAZO 3,200</t>
  </si>
  <si>
    <t>SF-ESL-073/076</t>
  </si>
  <si>
    <t>C:\Users\Usuario\Mi unidad\SAMFOR\CALIDAD\2.- CERTIFICACIONES\CERTIFICACIONES SAMFOR\CERTIFICACIONES ACTUALES\CERTIFICADOS DE HERRAMIENTAS\ESLINGAS DE IZAMIENTO 4,7” X 120 MM SF-E.pdf</t>
  </si>
  <si>
    <t>69540107WS</t>
  </si>
  <si>
    <t>SF-ESL-077</t>
  </si>
  <si>
    <t>ESLINGA DE IZAMIENTO 3,5¨X3 M</t>
  </si>
  <si>
    <t>ESLINCARGA / EP3B-3</t>
  </si>
  <si>
    <t>KG.U 8,400
KG.VERTICAL 4,200
KG.LAZO 3,360</t>
  </si>
  <si>
    <t>C:\Users\Usuario\Mi unidad\SAMFOR\CALIDAD\2.- CERTIFICACIONES\CERTIFICACIONES SAMFOR\CERTIFICACIONES ACTUALES\CERTIFICADOS DE HERRAMIENTAS\ESLINGA DE IZAMIENTO SF-ESL-077 472553.pdf</t>
  </si>
  <si>
    <t>SF-MED-001</t>
  </si>
  <si>
    <t>SF-MED-002</t>
  </si>
  <si>
    <t>SF-MED-003</t>
  </si>
  <si>
    <t>SF-MED-004</t>
  </si>
  <si>
    <t>SF-MED-005</t>
  </si>
  <si>
    <t>SF-MED-006</t>
  </si>
  <si>
    <t>SF-MED-007</t>
  </si>
  <si>
    <t>SF-MED-008</t>
  </si>
  <si>
    <t>SF-MED-009</t>
  </si>
  <si>
    <t>SF-MED-010</t>
  </si>
  <si>
    <t>SF-MED-011</t>
  </si>
  <si>
    <t>SF-MED-012</t>
  </si>
  <si>
    <t>SF-MED-013</t>
  </si>
  <si>
    <t>SF-MED-014</t>
  </si>
  <si>
    <t>SF-MED-015</t>
  </si>
  <si>
    <t>SF-MED-016</t>
  </si>
  <si>
    <t>SF-MED-017</t>
  </si>
  <si>
    <t>SF-MED-018</t>
  </si>
  <si>
    <t>SF-MED-019</t>
  </si>
  <si>
    <t>SF-MED-020</t>
  </si>
  <si>
    <t>SF-MED-021</t>
  </si>
  <si>
    <t>SF-MED-022</t>
  </si>
  <si>
    <t>SF-MED-023</t>
  </si>
  <si>
    <t>SF-MED-024</t>
  </si>
  <si>
    <t>SF-MED-025</t>
  </si>
  <si>
    <t>SF-MED-026</t>
  </si>
  <si>
    <t>SF-MED-027</t>
  </si>
  <si>
    <t>SF-MED-028</t>
  </si>
  <si>
    <t>SF-MED-029</t>
  </si>
  <si>
    <t>SF-MED-030</t>
  </si>
  <si>
    <t>SF-MED-031</t>
  </si>
  <si>
    <t>SF-MED-032</t>
  </si>
  <si>
    <t>SF-MED-033</t>
  </si>
  <si>
    <t>SF-MED-034</t>
  </si>
  <si>
    <t>SF-MED-035</t>
  </si>
  <si>
    <t>SF-MED-036</t>
  </si>
  <si>
    <t>SF-MED-037</t>
  </si>
  <si>
    <t>SF-MED-038</t>
  </si>
  <si>
    <t>SF-MED-039</t>
  </si>
  <si>
    <t>SF-MED-040</t>
  </si>
  <si>
    <t>SF-MED-041</t>
  </si>
  <si>
    <t>SF-MED-042</t>
  </si>
  <si>
    <t>SF-MED-043</t>
  </si>
  <si>
    <t>SF-MED-044</t>
  </si>
  <si>
    <t>SF-MED-045</t>
  </si>
  <si>
    <t>SF-MED-046</t>
  </si>
  <si>
    <t>SF-MED-047</t>
  </si>
  <si>
    <t>SF-MED-048</t>
  </si>
  <si>
    <t>SF-MED-049</t>
  </si>
  <si>
    <t>SF-MED-050</t>
  </si>
  <si>
    <t>SF-MED-051</t>
  </si>
  <si>
    <t>SF-POL-007</t>
  </si>
  <si>
    <t>SF-POL-008</t>
  </si>
  <si>
    <t>SF-POL-009</t>
  </si>
  <si>
    <t>DMH38765</t>
  </si>
  <si>
    <t>Q- COK/ 991-0008</t>
  </si>
  <si>
    <t>CAMARA TERMOGRAFICA</t>
  </si>
  <si>
    <t>MEDIDOR DE CALIDAD DE ENERGÍA</t>
  </si>
  <si>
    <t>FLIR/ E96</t>
  </si>
  <si>
    <t>FLUKE/1555</t>
  </si>
  <si>
    <t>10KV</t>
  </si>
  <si>
    <t xml:space="preserve">640 X 480 PIXELES
-20 A 1500 C </t>
  </si>
  <si>
    <t>FLUKE/1738</t>
  </si>
  <si>
    <t>EPAUTO</t>
  </si>
  <si>
    <t>NO APTO, AMERITA REEMPLAZO</t>
  </si>
  <si>
    <r>
      <t xml:space="preserve">NO APTO 
CABO DE VIDA : 005-007
ARNES: 006 -007
</t>
    </r>
    <r>
      <rPr>
        <sz val="9"/>
        <color rgb="FFFF0000"/>
        <rFont val="Arial"/>
        <family val="2"/>
      </rPr>
      <t>APTO: ARNES: 005 Y CABO 006 - OFICINA</t>
    </r>
  </si>
  <si>
    <t>C:\Users\Usuario\Mi unidad\SAMFOR\CALIDAD\2.- CERTIFICACIONES\CERTIFICACIONES SAMFOR\CERTIFICACIONES ACTUALES\CERTIFICADOS DE EQUIPOS\TORQUIMETRO 12 6791.PDF</t>
  </si>
  <si>
    <t>C:\Users\Usuario\Mi unidad\SAMFOR\CALIDAD\2.- CERTIFICACIONES\CERTIFICACIONES SAMFOR\CERTIFICACIONES ACTUALES\CERTIFICADOS DE EQUIPOS\OSCILOSCOPIO MULTÍMETRO .PDF</t>
  </si>
  <si>
    <t>C:\Users\Usuario\Mi unidad\SAMFOR\CALIDAD\2.- CERTIFICACIONES\CERTIFICACIONES SAMFOR\CERTIFICACIONES ACTUALES\CERTIFICADOS DE EQUIPOS\PINZA AMPERIMETRICA 66700001.PDF</t>
  </si>
  <si>
    <t>C:\Users\Usuario\Mi unidad\SAMFOR\CALIDAD\2.- CERTIFICACIONES\CERTIFICACIONES SAMFOR\CERTIFICACIONES ACTUALES\CERTIFICADOS DE EQUIPOS\PINZA AMPERIMETRICA 69540107WS.pdf</t>
  </si>
  <si>
    <t>CUARTO FRIO</t>
  </si>
  <si>
    <t>12F88673622100391480009</t>
  </si>
  <si>
    <t>10/200 A</t>
  </si>
  <si>
    <t>12F886736221010391480011</t>
  </si>
  <si>
    <t>12F88673622100391480018</t>
  </si>
  <si>
    <t>SF-ESL-078</t>
  </si>
  <si>
    <t>SF-ESL-079</t>
  </si>
  <si>
    <t>KG.U 4,000
KG.VERTICAL 2,000
KG.LAZO 1,600</t>
  </si>
  <si>
    <t>EC2B-2B</t>
  </si>
  <si>
    <t>092507/  092510</t>
  </si>
  <si>
    <t>SF-ESL-039/040</t>
  </si>
  <si>
    <t>SF-ESL-041</t>
  </si>
  <si>
    <t>SF-ESL-042</t>
  </si>
  <si>
    <t>092508</t>
  </si>
  <si>
    <t>092509</t>
  </si>
  <si>
    <t>C:\Users\Usuario\Mi unidad\SAMFOR\CALIDAD\2.- CERTIFICACIONES\CERTIFICACIONES SAMFOR\CERTIFICACIONES ACTUALES\CERTIFICADOS DE EQUIPOS\MAQUINA DE SOLDAR ELECTRICA 12F88673622100391480009.pdf</t>
  </si>
  <si>
    <t>C:\Users\Usuario\Mi unidad\SAMFOR\CALIDAD\2.- CERTIFICACIONES\CERTIFICACIONES SAMFOR\CERTIFICACIONES ACTUALES\CERTIFICADOS DE EQUIPOS\MAQUINA DE SOLDAR ELECTRICA 12F88673622100391480011.pdf</t>
  </si>
  <si>
    <t>C:\Users\Usuario\Mi unidad\SAMFOR\CALIDAD\2.- CERTIFICACIONES\CERTIFICACIONES SAMFOR\CERTIFICACIONES ACTUALES\CERTIFICADOS DE EQUIPOS\MAQUINA DE SOLDAR ELECTRICA 12F88673622100391480018.pdf</t>
  </si>
  <si>
    <t>C:\Users\Usuario\Mi unidad\SAMFOR\CALIDAD\2.- CERTIFICACIONES\CERTIFICACIONES SAMFOR\CERTIFICACIONES ACTUALES\CERTIFICADOS DE HERRAMIENTAS\ESLINGA SINTÉTICA SF-ESL-041.PDF</t>
  </si>
  <si>
    <t>C:\Users\Usuario\Mi unidad\SAMFOR\CALIDAD\2.- CERTIFICACIONES\CERTIFICACIONES SAMFOR\CERTIFICACIONES ACTUALES\CERTIFICADOS DE HERRAMIENTAS\ESLINGA SINTÉTICA SF -ESL-042.PDF</t>
  </si>
  <si>
    <t>C:\Users\Usuario\Mi unidad\SAMFOR\CALIDAD\2.- CERTIFICACIONES\CERTIFICACIONES SAMFOR\CERTIFICACIONES ACTUALES\CERTIFICADOS DE HERRAMIENTAS\ESLINGA SINTÉTICA SF-ESL-078.PDF</t>
  </si>
  <si>
    <t>C:\Users\Usuario\Mi unidad\SAMFOR\CALIDAD\2.- CERTIFICACIONES\CERTIFICACIONES SAMFOR\CERTIFICACIONES ACTUALES\CERTIFICADOS DE HERRAMIENTAS\ESLINGA SINTÉTICA SF-ESL-079.PDF</t>
  </si>
  <si>
    <t>SF-ESL-018,022,024,025 - NO APTO</t>
  </si>
  <si>
    <t>092508, 092509 - CUARTO FRIO
092507, 0925010 - TALLER</t>
  </si>
  <si>
    <t>CORPOELEC / SEINCA</t>
  </si>
  <si>
    <t>NO CERTIFICAR ES DEL ALINEADOR EXTERNO</t>
  </si>
  <si>
    <t>FLUKE 87V TRUE RMS</t>
  </si>
  <si>
    <t>C:\Users\Usuario\Mi unidad\SAMFOR\CALIDAD\2.- CERTIFICACIONES\CERTIFICACIONES SAMFOR\CERTIFICACIONES ACTUALES\CERTIFICADOS DE EQUIPOS\MAQUINA DE SOLDAR ELECTRICA  12C9K419400100391480056.pdf</t>
  </si>
  <si>
    <t>C:\Users\Usuario\Mi unidad\SAMFOR\CALIDAD\2.- CERTIFICACIONES\CERTIFICACIONES SAMFOR\CERTIFICACIONES ACTUALES\CERTIFICADOS DE EQUIPOS\MAQUINA DE SOLDAR  U1080600539.pdf</t>
  </si>
  <si>
    <t>C:\Users\Usuario\Mi unidad\SAMFOR\CALIDAD\2.- CERTIFICACIONES\CERTIFICACIONES SAMFOR\CERTIFICACIONES ACTUALES\CERTIFICADOS DE HERRAMIENTAS\ESLINGA SINTETICA SF-ESL-043 SAMFOR .pdf</t>
  </si>
  <si>
    <t>C:\Users\Usuario\Mi unidad\SAMFOR\CALIDAD\2.- CERTIFICACIONES\CERTIFICACIONES SAMFOR\CERTIFICACIONES ACTUALES\CERTIFICADOS DE HERRAMIENTAS\ESLINGA SINTETICA SF-ESL-044 SAMFOR .pdf</t>
  </si>
  <si>
    <t>C:\Users\Usuario\Mi unidad\SAMFOR\CALIDAD\2.- CERTIFICACIONES\CERTIFICACIONES SAMFOR\CERTIFICACIONES ACTUALES\CERTIFICADOS DE HERRAMIENTAS\ESLINGA SINTETICA SF-ESL-035,036,038 .pdf</t>
  </si>
  <si>
    <t>ESLINGA BLANCA CON PROTECTOR PARA ESLINGA DE 3¨</t>
  </si>
  <si>
    <t>SF-ESL-017</t>
  </si>
  <si>
    <t>SF-ESL-019</t>
  </si>
  <si>
    <t>SF-ESL-020/023</t>
  </si>
  <si>
    <t>SF-ESL-018-24-25</t>
  </si>
  <si>
    <t>SF-ESL-026/027</t>
  </si>
  <si>
    <t>C:\Users\Usuario\Mi unidad\SAMFOR\CALIDAD\2.- CERTIFICACIONES\CERTIFICACIONES SAMFOR\CERTIFICACIONES ACTUALES\CERTIFICADOS DE HERRAMIENTAS\ESLINGA SINTETICA SF-ESL-017 SAMFOR.pdf</t>
  </si>
  <si>
    <t>C:\Users\Usuario\Mi unidad\SAMFOR\CALIDAD\2.- CERTIFICACIONES\CERTIFICACIONES SAMFOR\CERTIFICACIONES ACTUALES\CERTIFICADOS DE HERRAMIENTAS\ESLINGA SINTETICA SF-ESL-019 SAMFOR.pdf</t>
  </si>
  <si>
    <t>C:\Users\Usuario\Mi unidad\SAMFOR\CALIDAD\2.- CERTIFICACIONES\CERTIFICACIONES SAMFOR\CERTIFICACIONES ACTUALES\CERTIFICADOS DE HERRAMIENTAS\ESLINGA SINTETICA SF-ESL-020,021,023 SAMFOR .pdf</t>
  </si>
  <si>
    <t>C:\Users\Usuario\Mi unidad\SAMFOR\CALIDAD\2.- CERTIFICACIONES\CERTIFICACIONES SAMFOR\CERTIFICACIONES ACTUALES\CERTIFICADOS DE HERRAMIENTAS\ESLINGA SINTETICA SF-ESL-026,027 SAMFOR .pdf</t>
  </si>
  <si>
    <t>ESLINGA BLANCA CON PROTECTOR PARA ESLINGA DE 3¨ 3X1"</t>
  </si>
  <si>
    <t>ESLINGA BLANCA CON PROTECTOR PARA ESLINGA DE 3¨ 2X2"</t>
  </si>
  <si>
    <t>ESLINGA BLANCA CON PROTECTOR PARA ESLINGA DE 3¨ 3X2"</t>
  </si>
  <si>
    <t>ESLINGA BLANCA CON PROTECTOR PARA ESLINGA DE 3¨ 4"X3</t>
  </si>
  <si>
    <t>1626438
1776742</t>
  </si>
  <si>
    <t>NOVAX/ D120</t>
  </si>
  <si>
    <t>500 V</t>
  </si>
  <si>
    <t>SF-ESL-080</t>
  </si>
  <si>
    <t>KG.U 4,000
KG.VERTICAL 2,000
KG.LAZO 1,601</t>
  </si>
  <si>
    <t>SF-ESL-081</t>
  </si>
  <si>
    <t>KG.U 4,000
KG.VERTICAL 2,000
KG.LAZO 1,602</t>
  </si>
  <si>
    <t>SF-ESL-020,021,023</t>
  </si>
  <si>
    <t>SF-ESL-035,036,038</t>
  </si>
  <si>
    <t>092503/ 092504/ 092506</t>
  </si>
  <si>
    <t>SF-ESL-037</t>
  </si>
  <si>
    <t>092505</t>
  </si>
  <si>
    <t>SF-MON-001</t>
  </si>
  <si>
    <t>CENTRIFUGADORA SIMPLEX</t>
  </si>
  <si>
    <t>SF-MON-002</t>
  </si>
  <si>
    <t>SF-MON-003</t>
  </si>
  <si>
    <t>CENTRIFUGADORA DUPLEX</t>
  </si>
  <si>
    <t>C:\Users\Usuario\Mi unidad\SAMFOR\CALIDAD\2.- CERTIFICACIONES\CERTIFICACIONES SAMFOR\CERTIFICACIONES ACTUALES\CERTIFICADOS DE MAQUINARIA PESADA\MONORRIEL SF-MON-003.pdf</t>
  </si>
  <si>
    <t>C:\Users\Usuario\Mi unidad\SAMFOR\CALIDAD\2.- CERTIFICACIONES\CERTIFICACIONES SAMFOR\CERTIFICACIONES ACTUALES\CERTIFICADOS DE MAQUINARIA PESADA\MONORRIEL SF-MON-001 .pdf</t>
  </si>
  <si>
    <t>GUANTE DIELECTRICO , CLASE 00 TIPO 1</t>
  </si>
  <si>
    <t>C:\Users\Usuario\Mi unidad\SAMFOR\CALIDAD\2.- CERTIFICACIONES\CERTIFICACIONES SAMFOR\CERTIFICACIONES ACTUALES\CERTIFICADOS DE EQUIPOS\GUANTES DIELECTRICOS 4122575.pdf</t>
  </si>
  <si>
    <t>C:\Users\Usuario\Mi unidad\SAMFOR\CALIDAD\2.- CERTIFICACIONES\CERTIFICACIONES SAMFOR\CERTIFICACIONES ACTUALES\CERTIFICADOS DE EQUIPOS\GUANTES DIELECTRICOS C2S10G0021F.pdf</t>
  </si>
  <si>
    <t>4588835-4593382</t>
  </si>
  <si>
    <t>4587194-4588840</t>
  </si>
  <si>
    <t>C:\Users\Usuario\Mi unidad\SAMFOR\CALIDAD\2.- CERTIFICACIONES\CERTIFICACIONES SAMFOR\CERTIFICACIONES ACTUALES\CERTIFICADOS DE EQUIPOS\GUANTES DIELECTRICOS 4588835-4593382.pdf</t>
  </si>
  <si>
    <t>C:\Users\Usuario\Mi unidad\SAMFOR\CALIDAD\2.- CERTIFICACIONES\CERTIFICACIONES SAMFOR\CERTIFICACIONES ACTUALES\CERTIFICADOS DE EQUIPOS\GUANTES DIELECTRICOS 4587194-4588840.pdf</t>
  </si>
  <si>
    <t>1626438-1776742</t>
  </si>
  <si>
    <t>C:\Users\Usuario\Mi unidad\SAMFOR\CALIDAD\2.- CERTIFICACIONES\CERTIFICACIONES SAMFOR\CERTIFICACIONES ACTUALES\CERTIFICADOS DE EQUIPOS\GUANTES DIELECTRICOS 3102632.pdf</t>
  </si>
  <si>
    <t>C:\Users\Usuario\Mi unidad\SAMFOR\CALIDAD\2.- CERTIFICACIONES\CERTIFICACIONES SAMFOR\CERTIFICACIONES ACTUALES\CERTIFICADOS DE EQUIPOS\CABLE PUESTA A TIERRA TEMPORARIA 61138.pdf</t>
  </si>
  <si>
    <t>C:\Users\Usuario\Mi unidad\SAMFOR\CALIDAD\2.- CERTIFICACIONES\CERTIFICACIONES SAMFOR\CERTIFICACIONES OBSOLETAS\CERTIFICADOS DE HERRAMIENTAS\ESLINGAS NUEVAS 092503 092504 092505 092506.PDF</t>
  </si>
  <si>
    <t xml:space="preserve">CORPOELEC </t>
  </si>
  <si>
    <t>C:\Users\Usuario\Mi unidad\SAMFOR\CALIDAD\2.- CERTIFICACIONES\CERTIFICACIONES SAMFOR\CERTIFICACIONES ACTUALES\CERTIFICADOS DE EQUIPOS\GUANTE DIELÉCTRICO CLASS 00 TIPO 1 C0010 F0041F.PDF</t>
  </si>
  <si>
    <t>C:\Users\Usuario\Mi unidad\SAMFOR\CALIDAD\2.- CERTIFICACIONES\CERTIFICACIONES SAMFOR\CERTIFICACIONES ACTUALES\CERTIFICADOS DE EQUIPOS\GUANTE DIELÉCTRICO CLASS 00 TIPO 1 1776742 1626438.pdf</t>
  </si>
  <si>
    <t>C:\Users\Usuario\Mi unidad\SAMFOR\CALIDAD\2.- CERTIFICACIONES\CERTIFICACIONES SAMFOR\CERTIFICACIONES ACTUALES\CERTIFICADOS DE EQUIPOS\PERTIGA TELESCOPICA TRIANGULAR SF-PERT-001.PDF</t>
  </si>
  <si>
    <t>C:\Users\Usuario\Mi unidad\SAMFOR\CALIDAD\2.- CERTIFICACIONES\CERTIFICACIONES SAMFOR\CERTIFICACIONES ACTUALES\CERTIFICADOS DE EQUIPOS\PERTIGA ELECTRICA BRAZO MECANICO SF-PER-001.PDF</t>
  </si>
  <si>
    <t>C:\Users\Usuario\Mi unidad\SAMFOR\CALIDAD\2.- CERTIFICACIONES\CERTIFICACIONES SAMFOR\CERTIFICACIONES ACTUALES\CERTIFICADOS DE EQUIPOS\MEGGER 704616.PDF</t>
  </si>
  <si>
    <t>C:\Users\Usuario\Mi unidad\SAMFOR\CALIDAD\2.- CERTIFICACIONES\CERTIFICACIONES SAMFOR\CERTIFICACIONES ACTUALES\CERTIFICADOS DE EQUIPOS\CALIBRADOR DE PROCESO DE DOCUMENTACION 9478031.PDF</t>
  </si>
  <si>
    <t>SIA, C.A</t>
  </si>
  <si>
    <t>CENTRIFUGA. NO CERTIFICAR SE VERIFICARA FUNCIONAMIENTO CON INTRUMENTO PATRON. AUTORIZADO SR Fernando 26/02/2026</t>
  </si>
  <si>
    <r>
      <t xml:space="preserve">NO APTO
ARNES Y CABO: 009
CABO: 011
</t>
    </r>
    <r>
      <rPr>
        <sz val="9"/>
        <rFont val="Arial"/>
        <family val="2"/>
      </rPr>
      <t xml:space="preserve">REFINERIA:
ARNES:010-011
CABO: 008
</t>
    </r>
    <r>
      <rPr>
        <sz val="9"/>
        <color rgb="FFFF0000"/>
        <rFont val="Arial"/>
        <family val="2"/>
      </rPr>
      <t>APTO: ARNES: 008 Y CABO 010</t>
    </r>
  </si>
  <si>
    <t>C:\Users\Usuario\Mi unidad\SAMFOR\CALIDAD\2.- CERTIFICACIONES\CERTIFICACIONES SAMFOR\CERTIFICACIONES ACTUALES\CERTIFICADOS DE EQUIPOS\GUANTES  DIELECTRICO, CLASE O TIPO I  4095607A.pdf</t>
  </si>
  <si>
    <t>C:\Users\Usuario\Mi unidad\SAMFOR\CALIDAD\2.- CERTIFICACIONES\CERTIFICACIONES SAMFOR\CERTIFICACIONES ACTUALES\CERTIFICADOS DE EQUIPOS\GUANTES  DIELECTRICO, CLASE O TIPO I 4122176 .pdf</t>
  </si>
  <si>
    <t>C:\Users\Usuario\Mi unidad\SAMFOR\CALIDAD\2.- CERTIFICACIONES\CERTIFICACIONES SAMFOR\CERTIFICACIONES ACTUALES\CERTIFICADOS DE EQUIPOS\GUANTES  DIELECTRICO, CLASE O TIPO I 4096511.pdf</t>
  </si>
  <si>
    <t>C:\Users\Usuario\Mi unidad\SAMFOR\CALIDAD\2.- CERTIFICACIONES\CERTIFICACIONES SAMFOR\CERTIFICACIONES ACTUALES\CERTIFICADOS DE MAQUINARIA PESADA\RETROEXCAVADORA SERIAL TO310JX161698.pdf</t>
  </si>
  <si>
    <t>SMP-465</t>
  </si>
  <si>
    <t>TADAMO/AT-F1000XL-2</t>
  </si>
  <si>
    <t>100000 KGS</t>
  </si>
  <si>
    <t>EDIF ADMINISTRATIVO SALA DE OFICINAS</t>
  </si>
  <si>
    <t>CUARTO DE REDES</t>
  </si>
  <si>
    <t>PUERTA ACCESO SALA CONTROL AFUERA</t>
  </si>
  <si>
    <t>PUERTA PRINCIPAL SALA DE CONTROL</t>
  </si>
  <si>
    <t>SALA DE CONTROL SIN BASE</t>
  </si>
  <si>
    <t>SWITCHGEAR N° 2</t>
  </si>
  <si>
    <t>CENTRO DE CONTROL DE MOTORES A Y B</t>
  </si>
  <si>
    <t>CENTRO DE CONTROL DE MOTORES C Y D</t>
  </si>
  <si>
    <t>CENTRO DE CONTROL DE MOTORES C</t>
  </si>
  <si>
    <t>SALA DE RELES</t>
  </si>
  <si>
    <t>PTBG-001</t>
  </si>
  <si>
    <t>PTBG-002</t>
  </si>
  <si>
    <t>PTBG-003</t>
  </si>
  <si>
    <t>PTBG-004</t>
  </si>
  <si>
    <t>PTBG-006</t>
  </si>
  <si>
    <t>PTBG-007</t>
  </si>
  <si>
    <t>PTBG-008</t>
  </si>
  <si>
    <t>PTBG-009</t>
  </si>
  <si>
    <t>PTBG-010</t>
  </si>
  <si>
    <t>PTBG-011</t>
  </si>
  <si>
    <t>CENTRIFUGA</t>
  </si>
  <si>
    <t>CELDAS 24 KV</t>
  </si>
  <si>
    <t>PTBG-023</t>
  </si>
  <si>
    <t>PTBG-032</t>
  </si>
  <si>
    <t>PTBG-033</t>
  </si>
  <si>
    <t>TALLER ELECTRICO/INSTRUMENTO</t>
  </si>
  <si>
    <t>AREA SOCIAL</t>
  </si>
  <si>
    <t>TALLER DE SOLDADURA</t>
  </si>
  <si>
    <t>ALMACEN DE LUBRICANTES</t>
  </si>
  <si>
    <t>TALLER DE INSTRUMENTOS</t>
  </si>
  <si>
    <t>PLANTA DEMI</t>
  </si>
  <si>
    <t>PATIN COMPRESORES DE AIRE</t>
  </si>
  <si>
    <t>GARITA DE VIGILANCIA.</t>
  </si>
  <si>
    <t>PATIN CENTRIFUGAS DE DIESEL</t>
  </si>
  <si>
    <t>SALA DE CONTROL BG-01</t>
  </si>
  <si>
    <t>BG1</t>
  </si>
  <si>
    <t>SALA DE CONTROL BG-02</t>
  </si>
  <si>
    <t>BG2</t>
  </si>
  <si>
    <t>SALA DE BATERIAS DE SALA DE RELE</t>
  </si>
  <si>
    <t>ALMACEN DE SOBRANTES</t>
  </si>
  <si>
    <t>TALLER DE MECANICA</t>
  </si>
  <si>
    <t>PTBG-027</t>
  </si>
  <si>
    <t>PTBG-030</t>
  </si>
  <si>
    <t>PTBG-005</t>
  </si>
  <si>
    <t>PTBG-012</t>
  </si>
  <si>
    <t>PTBG-013</t>
  </si>
  <si>
    <t>PTBG-014</t>
  </si>
  <si>
    <t>PTBG-015</t>
  </si>
  <si>
    <t>PTBG-016</t>
  </si>
  <si>
    <t>PTBG-017</t>
  </si>
  <si>
    <t>PTBG-018</t>
  </si>
  <si>
    <t>PTBG-019</t>
  </si>
  <si>
    <t>PTBG-020</t>
  </si>
  <si>
    <t>PTBG-021</t>
  </si>
  <si>
    <t>PTBG-022</t>
  </si>
  <si>
    <t>PTBG-024</t>
  </si>
  <si>
    <t>PTBG-025</t>
  </si>
  <si>
    <t>PTBG-026</t>
  </si>
  <si>
    <t>PTBG-028</t>
  </si>
  <si>
    <t>PTBG-029</t>
  </si>
  <si>
    <t>PTBG-031</t>
  </si>
  <si>
    <t>PTBG-034</t>
  </si>
  <si>
    <t>PTBG-035</t>
  </si>
  <si>
    <t>PTBG-036</t>
  </si>
  <si>
    <t>ALMACEN DE REPUESTOS</t>
  </si>
  <si>
    <t>ALMACEN DE HERRAMIENTAS</t>
  </si>
  <si>
    <t>TRAILER SIHO</t>
  </si>
  <si>
    <t>CAMIÓN DE SOLDADURA SVP-203</t>
  </si>
  <si>
    <t xml:space="preserve"> VACUUM SMP-463</t>
  </si>
  <si>
    <t>SF-002</t>
  </si>
  <si>
    <t>SF-003</t>
  </si>
  <si>
    <t>SF-004</t>
  </si>
  <si>
    <t>SF-006</t>
  </si>
  <si>
    <t>SF-008</t>
  </si>
  <si>
    <t>SF-014</t>
  </si>
  <si>
    <t>SF-015</t>
  </si>
  <si>
    <t>SF-016</t>
  </si>
  <si>
    <t>SF-017</t>
  </si>
  <si>
    <t>SF-018</t>
  </si>
  <si>
    <t>SF-019</t>
  </si>
  <si>
    <t>SF-020</t>
  </si>
  <si>
    <t>SF-021</t>
  </si>
  <si>
    <t>SF-022</t>
  </si>
  <si>
    <t>5 LBS</t>
  </si>
  <si>
    <t>KIA SVL-027</t>
  </si>
  <si>
    <t>KIA SVL-028</t>
  </si>
  <si>
    <t>KIA SVL-026</t>
  </si>
  <si>
    <t>KIA SVL-044</t>
  </si>
  <si>
    <t>FIAT SVL- 021</t>
  </si>
  <si>
    <t>JAC SVL-053</t>
  </si>
  <si>
    <t>JAC SVL-022</t>
  </si>
  <si>
    <t>HYLUX SVL-054</t>
  </si>
  <si>
    <t>RANGER- SVL 055</t>
  </si>
  <si>
    <t>CUADRILLA DESMALEZADO</t>
  </si>
  <si>
    <t>CAMIÓN CHUTO SVP-216</t>
  </si>
  <si>
    <t>MONTACARGAS SML-400</t>
  </si>
  <si>
    <t>CAMIÓN VOLTEO SVP-201</t>
  </si>
  <si>
    <t>MANLIFT SML-401</t>
  </si>
  <si>
    <t xml:space="preserve"> CAMION CON BRAZO ARTICULADO SVP-200</t>
  </si>
  <si>
    <t>CAMION CON BRAZO ARTICULADO SVP-202</t>
  </si>
  <si>
    <t>RETROEXCAVADORA SMP-452</t>
  </si>
  <si>
    <t>SF-001</t>
  </si>
  <si>
    <t>SF-005</t>
  </si>
  <si>
    <t>SF-007</t>
  </si>
  <si>
    <t>SF-009</t>
  </si>
  <si>
    <t>SF-010</t>
  </si>
  <si>
    <t>SF-011</t>
  </si>
  <si>
    <t>SF-012</t>
  </si>
  <si>
    <t>SF-013</t>
  </si>
  <si>
    <t>279714/332971</t>
  </si>
  <si>
    <t>V-652314</t>
  </si>
  <si>
    <t>V-645925</t>
  </si>
  <si>
    <t>PRUEBA HIDROSTATICA
01/3/20226 HASTA 01/3/2031</t>
  </si>
  <si>
    <t>V-64592</t>
  </si>
  <si>
    <t>C:\Users\Usuario\Mi unidad\SAMFOR\CALIDAD\2.- CERTIFICACIONES\CERTIFICACIONES SAMFOR\CERTIFICACIONES ACTUALES\CERTIFICADOS DE MAQUINARIA PESADA\GRUA TELESCÓPICA 4085135 (ESLINGAS Y GUAYAS).pdf</t>
  </si>
  <si>
    <t>C:\Users\Usuario\Mi unidad\SAMFOR\CALIDAD\2.- CERTIFICACIONES\CERTIFICACIONES SAMFOR\CERTIFICACIONES ACTUALES\CERTIFICADOS EXTINTORES\EXTINTOR PTBG-002.pdf</t>
  </si>
  <si>
    <t>C:\Users\Usuario\Mi unidad\SAMFOR\CALIDAD\2.- CERTIFICACIONES\CERTIFICACIONES SAMFOR\CERTIFICACIONES ACTUALES\CERTIFICADOS EXTINTORES\EXTINTOR PTBG-004.pdf</t>
  </si>
  <si>
    <t>C:\Users\Usuario\Mi unidad\SAMFOR\CALIDAD\2.- CERTIFICACIONES\CERTIFICACIONES SAMFOR\CERTIFICACIONES ACTUALES\CERTIFICADOS EXTINTORES\EXTINTOR PTBG-006.pdf</t>
  </si>
  <si>
    <t>C:\Users\Usuario\Mi unidad\SAMFOR\CALIDAD\2.- CERTIFICACIONES\CERTIFICACIONES SAMFOR\CERTIFICACIONES ACTUALES\CERTIFICADOS EXTINTORES\EXTINTOR PTBG-005.pdf</t>
  </si>
  <si>
    <t>C:\Users\Usuario\Mi unidad\SAMFOR\CALIDAD\2.- CERTIFICACIONES\CERTIFICACIONES SAMFOR\CERTIFICACIONES ACTUALES\CERTIFICADOS EXTINTORES\EXTINTOR PTBG-014.pdf</t>
  </si>
  <si>
    <t>C:\Users\Usuario\Mi unidad\SAMFOR\CALIDAD\2.- CERTIFICACIONES\CERTIFICACIONES SAMFOR\CERTIFICACIONES ACTUALES\CERTIFICADOS EXTINTORES\EXTINTOR PTBG-012.pdf</t>
  </si>
  <si>
    <t>C:\Users\Usuario\Mi unidad\SAMFOR\CALIDAD\2.- CERTIFICACIONES\CERTIFICACIONES SAMFOR\CERTIFICACIONES ACTUALES\CERTIFICADOS EXTINTORES\EXTINTOR PTBG-013.pdf</t>
  </si>
  <si>
    <t>C:\Users\Usuario\Mi unidad\SAMFOR\CALIDAD\2.- CERTIFICACIONES\CERTIFICACIONES SAMFOR\CERTIFICACIONES ACTUALES\CERTIFICADOS EXTINTORES\EXTINTOR PTBG-018.pdf</t>
  </si>
  <si>
    <t>C:\Users\Usuario\Mi unidad\SAMFOR\CALIDAD\2.- CERTIFICACIONES\CERTIFICACIONES SAMFOR\CERTIFICACIONES ACTUALES\CERTIFICADOS EXTINTORES\EXTINTOR PTBG-022.pdf</t>
  </si>
  <si>
    <t>C:\Users\Usuario\Mi unidad\SAMFOR\CALIDAD\2.- CERTIFICACIONES\CERTIFICACIONES SAMFOR\CERTIFICACIONES ACTUALES\CERTIFICADOS EXTINTORES\EXTINTOR PTBG-024.pdf</t>
  </si>
  <si>
    <t>C:\Users\Usuario\Mi unidad\SAMFOR\CALIDAD\2.- CERTIFICACIONES\CERTIFICACIONES SAMFOR\CERTIFICACIONES ACTUALES\CERTIFICADOS EXTINTORES\EXTINTOR PTBG-028.pdf</t>
  </si>
  <si>
    <t>C:\Users\Usuario\Mi unidad\SAMFOR\CALIDAD\2.- CERTIFICACIONES\CERTIFICACIONES SAMFOR\CERTIFICACIONES ACTUALES\CERTIFICADOS EXTINTORES\EXTINTOR PTBG-027.pdf</t>
  </si>
  <si>
    <t>C:\Users\Usuario\Mi unidad\SAMFOR\CALIDAD\2.- CERTIFICACIONES\CERTIFICACIONES SAMFOR\CERTIFICACIONES ACTUALES\CERTIFICADOS EXTINTORES\EXTINTOR PTBG-031.pdf</t>
  </si>
  <si>
    <t>C:\Users\Usuario\Mi unidad\SAMFOR\CALIDAD\2.- CERTIFICACIONES\CERTIFICACIONES SAMFOR\CERTIFICACIONES ACTUALES\CERTIFICADOS EXTINTORES\EXTINTOR PTBG-033.pdf</t>
  </si>
  <si>
    <t>SF-ARN-005/006/007</t>
  </si>
  <si>
    <t>SF-ARN-008/009/010/011</t>
  </si>
  <si>
    <t>SF-ARN-012/013/014/015/016/017/018</t>
  </si>
  <si>
    <t>SF-ARN-019</t>
  </si>
  <si>
    <t>SF-ARN-020</t>
  </si>
  <si>
    <t>SF-ARN-021</t>
  </si>
  <si>
    <t>SF-ARN-023</t>
  </si>
  <si>
    <t>SF-ARN-024</t>
  </si>
  <si>
    <t>SF-ARN-025</t>
  </si>
  <si>
    <t>SF-ARN-026</t>
  </si>
  <si>
    <t>SF-ARN-027</t>
  </si>
  <si>
    <t>SF-ARN-028</t>
  </si>
  <si>
    <t>SF-ARN-022</t>
  </si>
  <si>
    <t>C:\Users\Usuario\Mi unidad\SAMFOR\CALIDAD\2.- CERTIFICACIONES\CERTIFICACIONES SAMFOR\CERTIFICACIONES ACTUALES\CERTIFICADOS DE HERRAMIENTAS\ARNES Y CABO DE VIDA 008,010.pdf</t>
  </si>
  <si>
    <t>C:\Users\Usuario\Mi unidad\SAMFOR\CALIDAD\2.- CERTIFICACIONES\CERTIFICACIONES SAMFOR\CERTIFICACIONES ACTUALES\CERTIFICADOS DE HERRAMIENTAS\ARNES Y CABO DE VIDA 012,013 014, 015, 016, 017, 018.pdf</t>
  </si>
  <si>
    <t>C:\Users\Usuario\Mi unidad\SAMFOR\CALIDAD\2.- CERTIFICACIONES\CERTIFICACIONES SAMFOR\CERTIFICACIONES ACTUALES\CERTIFICADOS DE HERRAMIENTAS\ARNES Y CABO DE VIDA 025.pdf</t>
  </si>
  <si>
    <t>C:\Users\Usuario\Mi unidad\SAMFOR\CALIDAD\2.- CERTIFICACIONES\CERTIFICACIONES SAMFOR\CERTIFICACIONES ACTUALES\CERTIFICADOS DE HERRAMIENTAS\ARNES Y CABO DE VIDA 019.pdf</t>
  </si>
  <si>
    <t>C:\Users\Usuario\Mi unidad\SAMFOR\CALIDAD\2.- CERTIFICACIONES\CERTIFICACIONES SAMFOR\CERTIFICACIONES ACTUALES\CERTIFICADOS DE HERRAMIENTAS\ARNES Y CABO DE VIDA 023.pdf</t>
  </si>
  <si>
    <t>C:\Users\Usuario\Mi unidad\SAMFOR\CALIDAD\2.- CERTIFICACIONES\CERTIFICACIONES SAMFOR\CERTIFICACIONES ACTUALES\CERTIFICADOS DE HERRAMIENTAS\ARNES Y CABO DE VIDA 024.pdf</t>
  </si>
  <si>
    <t>C:\Users\Usuario\Mi unidad\SAMFOR\CALIDAD\2.- CERTIFICACIONES\CERTIFICACIONES SAMFOR\CERTIFICACIONES ACTUALES\CERTIFICADOS DE HERRAMIENTAS\ARNES Y CABO DE VIDA 021.pdf</t>
  </si>
  <si>
    <t>C:\Users\Usuario\Mi unidad\SAMFOR\CALIDAD\2.- CERTIFICACIONES\CERTIFICACIONES SAMFOR\CERTIFICACIONES ACTUALES\CERTIFICADOS DE HERRAMIENTAS\ARNES Y CABO DE VIDA 020-022.pdf</t>
  </si>
  <si>
    <t>SF-LV-001</t>
  </si>
  <si>
    <t xml:space="preserve">ARNES (LINEA DE VIDA) </t>
  </si>
  <si>
    <t>3600 LBS</t>
  </si>
  <si>
    <t>TRSMINA</t>
  </si>
  <si>
    <t>C:\Users\Usuario\Mi unidad\SAMFOR\CALIDAD\2.- CERTIFICACIONES\CERTIFICACIONES SAMFOR\CERTIFICACIONES ACTUALES\CERTIFICADOS DE HERRAMIENTAS\ARNES (LINEA DE VIDA) SFLV01.pdf</t>
  </si>
  <si>
    <t>SVP-202</t>
  </si>
  <si>
    <t>FERRARI/ IBP5000L/2S1</t>
  </si>
  <si>
    <t>2200 KGS</t>
  </si>
  <si>
    <t>C:\Users\Usuario\Mi unidad\SAMFOR\CALIDAD\2.- CERTIFICACIONES\CERTIFICACIONES SAMFOR\CERTIFICACIONES ACTUALES\CERTIFICADOS EXTINTORES\EXTINTOR PTBG-003.pdf</t>
  </si>
  <si>
    <t>C:\Users\Usuario\Mi unidad\SAMFOR\CALIDAD\2.- CERTIFICACIONES\CERTIFICACIONES SAMFOR\CERTIFICACIONES ACTUALES\CERTIFICADOS EXTINTORES\EXTINTOR PTBG-007.pdf</t>
  </si>
  <si>
    <t>C:\Users\Usuario\Mi unidad\SAMFOR\CALIDAD\2.- CERTIFICACIONES\CERTIFICACIONES SAMFOR\CERTIFICACIONES ACTUALES\CERTIFICADOS EXTINTORES\EXTINTOR PTBG-008.pdf</t>
  </si>
  <si>
    <t>C:\Users\Usuario\Mi unidad\SAMFOR\CALIDAD\2.- CERTIFICACIONES\CERTIFICACIONES SAMFOR\CERTIFICACIONES ACTUALES\CERTIFICADOS EXTINTORES\EXTINTOR PTBG-009.pdf</t>
  </si>
  <si>
    <t>C:\Users\Usuario\Mi unidad\SAMFOR\CALIDAD\2.- CERTIFICACIONES\CERTIFICACIONES SAMFOR\CERTIFICACIONES ACTUALES\CERTIFICADOS EXTINTORES\EXTINTOR PTBG-010.pdf</t>
  </si>
  <si>
    <t>C:\Users\Usuario\Mi unidad\SAMFOR\CALIDAD\2.- CERTIFICACIONES\CERTIFICACIONES SAMFOR\CERTIFICACIONES ACTUALES\CERTIFICADOS EXTINTORES\EXTINTOR PTBG-011.pdf</t>
  </si>
  <si>
    <t>PRUEBA HIDROSTATICA
01/3/20226 HASTA 01/3/2032</t>
  </si>
  <si>
    <t>PRUEBA HIDROSTATICA
01/3/20226 HASTA 01/3/2033</t>
  </si>
  <si>
    <t>PRUEBA HIDROSTATICA
01/3/20226 HASTA 01/3/2034</t>
  </si>
  <si>
    <t>PRUEBA HIDROSTATICA
01/3/20226 HASTA 01/3/2035</t>
  </si>
  <si>
    <t>PRUEBA HIDROSTATICA
01/3/20226 HASTA 01/3/2036</t>
  </si>
  <si>
    <t>PRUEBA HIDROSTATICA
01/3/20226 HASTA 01/3/2037</t>
  </si>
  <si>
    <t>PRUEBA HIDROSTATICA
01/3/20226 HASTA 01/3/2038</t>
  </si>
  <si>
    <t>PRUEBA HIDROSTATICA
01/3/20226 HASTA 01/3/2039</t>
  </si>
  <si>
    <t>PRUEBA HIDROSTATICA
01/3/20226 HASTA 01/3/2040</t>
  </si>
  <si>
    <t>PRUEBA HIDROSTATICA
01/3/20226 HASTA 01/3/2041</t>
  </si>
  <si>
    <t>PRUEBA HIDROSTATICA
01/3/20226 HASTA 01/3/2042</t>
  </si>
  <si>
    <t>PRUEBA HIDROSTATICA
01/3/20226 HASTA 01/3/2043</t>
  </si>
  <si>
    <t>PRUEBA HIDROSTATICA
01/3/20226 HASTA 01/3/2044</t>
  </si>
  <si>
    <t>PRUEBA HIDROSTATICA
01/3/20226 HASTA 01/3/2045</t>
  </si>
  <si>
    <t>PRUEBA HIDROSTATICA
01/3/20226 HASTA 01/3/2046</t>
  </si>
  <si>
    <t>PRUEBA HIDROSTATICA
01/3/20226 HASTA 01/3/2047</t>
  </si>
  <si>
    <t>PRUEBA HIDROSTATICA
01/3/20226 HASTA 01/3/2048</t>
  </si>
  <si>
    <t>PRUEBA HIDROSTATICA
01/3/20226 HASTA 01/3/2049</t>
  </si>
  <si>
    <t>PRUEBA HIDROSTATICA
01/3/20226 HASTA 01/3/2050</t>
  </si>
  <si>
    <t>PRUEBA HIDROSTATICA
01/3/20226 HASTA 01/3/2051</t>
  </si>
  <si>
    <t>PRUEBA HIDROSTATICA
01/3/20226 HASTA 01/3/2052</t>
  </si>
  <si>
    <t>PRUEBA HIDROSTATICA
01/3/20226 HASTA 01/3/2053</t>
  </si>
  <si>
    <t>C:\Users\Usuario\Mi unidad\SAMFOR\CALIDAD\2.- CERTIFICACIONES\CERTIFICACIONES SAMFOR\CERTIFICACIONES ACTUALES\CERTIFICADOS EXTINTORES\EXTINTOR PTBG-015.pdf</t>
  </si>
  <si>
    <t>C:\Users\Usuario\Mi unidad\SAMFOR\CALIDAD\2.- CERTIFICACIONES\CERTIFICACIONES SAMFOR\CERTIFICACIONES ACTUALES\CERTIFICADOS EXTINTORES\EXTINTOR PTBG-016.pdf</t>
  </si>
  <si>
    <t>C:\Users\Usuario\Mi unidad\SAMFOR\CALIDAD\2.- CERTIFICACIONES\CERTIFICACIONES SAMFOR\CERTIFICACIONES ACTUALES\CERTIFICADOS EXTINTORES\EXTINTOR PTBG-017.pdf</t>
  </si>
  <si>
    <t>C:\Users\Usuario\Mi unidad\SAMFOR\CALIDAD\2.- CERTIFICACIONES\CERTIFICACIONES SAMFOR\CERTIFICACIONES ACTUALES\CERTIFICADOS EXTINTORES\EXTINTOR PTBG-019.pdf</t>
  </si>
  <si>
    <t>C:\Users\Usuario\Mi unidad\SAMFOR\CALIDAD\2.- CERTIFICACIONES\CERTIFICACIONES SAMFOR\CERTIFICACIONES ACTUALES\CERTIFICADOS EXTINTORES\EXTINTOR PTBG-020.pdf</t>
  </si>
  <si>
    <t>C:\Users\Usuario\Mi unidad\SAMFOR\CALIDAD\2.- CERTIFICACIONES\CERTIFICACIONES SAMFOR\CERTIFICACIONES ACTUALES\CERTIFICADOS EXTINTORES\EXTINTOR PTBG-021.pdf</t>
  </si>
  <si>
    <t>C:\Users\Usuario\Mi unidad\SAMFOR\CALIDAD\2.- CERTIFICACIONES\CERTIFICACIONES SAMFOR\CERTIFICACIONES ACTUALES\CERTIFICADOS EXTINTORES\EXTINTOR PTBG-023.pdf</t>
  </si>
  <si>
    <t>C:\Users\Usuario\Mi unidad\SAMFOR\CALIDAD\2.- CERTIFICACIONES\CERTIFICACIONES SAMFOR\CERTIFICACIONES ACTUALES\CERTIFICADOS EXTINTORES\EXTINTOR PTBG-025.pdf</t>
  </si>
  <si>
    <t>C:\Users\Usuario\Mi unidad\SAMFOR\CALIDAD\2.- CERTIFICACIONES\CERTIFICACIONES SAMFOR\CERTIFICACIONES ACTUALES\CERTIFICADOS EXTINTORES\EXTINTOR PTBG-026.pdf</t>
  </si>
  <si>
    <t>C:\Users\Usuario\Mi unidad\SAMFOR\CALIDAD\2.- CERTIFICACIONES\CERTIFICACIONES SAMFOR\CERTIFICACIONES ACTUALES\CERTIFICADOS EXTINTORES\EXTINTOR PTBG-029.pdf</t>
  </si>
  <si>
    <t>C:\Users\Usuario\Mi unidad\SAMFOR\CALIDAD\2.- CERTIFICACIONES\CERTIFICACIONES SAMFOR\CERTIFICACIONES ACTUALES\CERTIFICADOS EXTINTORES\EXTINTOR PTBG-030.pdf</t>
  </si>
  <si>
    <t>C:\Users\Usuario\Mi unidad\SAMFOR\CALIDAD\2.- CERTIFICACIONES\CERTIFICACIONES SAMFOR\CERTIFICACIONES ACTUALES\CERTIFICADOS EXTINTORES\EXTINTOR PTBG-032.pdf</t>
  </si>
  <si>
    <t>C:\Users\Usuario\Mi unidad\SAMFOR\CALIDAD\2.- CERTIFICACIONES\CERTIFICACIONES SAMFOR\CERTIFICACIONES ACTUALES\CERTIFICADOS EXTINTORES\EXTINTOR PTBG-034.pdf</t>
  </si>
  <si>
    <t>C:\Users\Usuario\Mi unidad\SAMFOR\CALIDAD\2.- CERTIFICACIONES\CERTIFICACIONES SAMFOR\CERTIFICACIONES ACTUALES\CERTIFICADOS EXTINTORES\EXTINTOR PTBG-035.pdf</t>
  </si>
  <si>
    <t>C:\Users\Usuario\Mi unidad\SAMFOR\CALIDAD\2.- CERTIFICACIONES\CERTIFICACIONES SAMFOR\CERTIFICACIONES ACTUALES\CERTIFICADOS EXTINTORES\EXTINTOR PTBG-036.pdf</t>
  </si>
  <si>
    <t>C:\Users\Usuario\Mi unidad\SAMFOR\CALIDAD\2.- CERTIFICACIONES\CERTIFICACIONES SAMFOR\CERTIFICACIONES ACTUALES\CERTIFICADOS EXTINTORES\EXTINTOR PTBG-001.pdf</t>
  </si>
  <si>
    <t>V-645437</t>
  </si>
  <si>
    <t>V-647904</t>
  </si>
  <si>
    <t>V-645457</t>
  </si>
  <si>
    <t>V-679975</t>
  </si>
  <si>
    <t>V-546190</t>
  </si>
  <si>
    <t>V-729174</t>
  </si>
  <si>
    <t>V-21562</t>
  </si>
  <si>
    <t>4FDK160-50274</t>
  </si>
  <si>
    <t>TOYOTA/ 50-4FDK160</t>
  </si>
  <si>
    <t>SMP-454</t>
  </si>
  <si>
    <t>C:\Users\Usuario\Mi unidad\SAMFOR\CALIDAD\2.- CERTIFICACIONES\CERTIFICACIONES SAMFOR\CERTIFICACIONES ACTUALES\CERTIFICADOS DE MAQUINARIA PESADA\MONTACARGAS 4FDK160-50274.pdf</t>
  </si>
  <si>
    <t>BOMBA NEUMATICA PARA PRUEBAS DE PRESIÓN Y VACIO</t>
  </si>
  <si>
    <t>SF-ARN-029</t>
  </si>
  <si>
    <t>SF-ARN-030</t>
  </si>
  <si>
    <t>DESMALEZADO</t>
  </si>
  <si>
    <t>C:\Users\Usuario\Mi unidad\SAMFOR\CALIDAD\2.- CERTIFICACIONES\CERTIFICACIONES SAMFOR\CERTIFICACIONES ACTUALES\CERTIFICADOS DE HERRAMIENTAS\ARNES Y CABO DE VIDA 029.pdf</t>
  </si>
  <si>
    <t>C:\Users\Usuario\Mi unidad\SAMFOR\CALIDAD\2.- CERTIFICACIONES\CERTIFICACIONES SAMFOR\CERTIFICACIONES ACTUALES\CERTIFICADOS DE HERRAMIENTAS\ARNES Y CABO DE VIDA 030.pdf</t>
  </si>
  <si>
    <t>TOTAL/TSM501415</t>
  </si>
  <si>
    <t>TOTAL/TSM501416</t>
  </si>
  <si>
    <t>300 LBS</t>
  </si>
  <si>
    <t>SIN SERIAL</t>
  </si>
  <si>
    <t>SF-POL-010</t>
  </si>
  <si>
    <t>C:\Users\Usuario\Mi unidad\SAMFOR\CALIDAD\2.- CERTIFICACIONES\CERTIFICACIONES SAMFOR\CERTIFICACIONES ACTUALES\CERTIFICADOS DE EQUIPOS\BOMBA NEUMATICA 6549329.pdf</t>
  </si>
  <si>
    <t>C:\Users\Usuario\Mi unidad\SAMFOR\CALIDAD\2.- CERTIFICACIONES\CERTIFICACIONES SAMFOR\CERTIFICACIONES ACTUALES\CERTIFICADOS DE EQUIPOS\BOMBA.HIDRAULICA 6920.pdf</t>
  </si>
  <si>
    <t>C:\Users\Usuario\Mi unidad\SAMFOR\CALIDAD\2.- CERTIFICACIONES\CERTIFICACIONES SAMFOR\CERTIFICACIONES ACTUALES\CERTIFICADOS DE EQUIPOS\MODULO DE PRESION 6269278.pdf</t>
  </si>
  <si>
    <t>C:\Users\Usuario\Mi unidad\SAMFOR\CALIDAD\2.- CERTIFICACIONES\CERTIFICACIONES SAMFOR\CERTIFICACIONES ACTUALES\CERTIFICADOS DE EQUIPOS\MODULO DE PRESION 3212012.pdf</t>
  </si>
  <si>
    <t>C:\Users\Usuario\Mi unidad\SAMFOR\CALIDAD\2.- CERTIFICACIONES\CERTIFICACIONES SAMFOR\CERTIFICACIONES ACTUALES\CERTIFICADOS DE EQUIPOS\PINZA AMPERIMETRICA 14960110..pdf</t>
  </si>
  <si>
    <t>C:\Users\Usuario\Mi unidad\SAMFOR\CALIDAD\2.- CERTIFICACIONES\CERTIFICACIONES SAMFOR\CERTIFICACIONES ACTUALES\CERTIFICADOS DE EQUIPOS\BOMBA NEUMATICA 239466.pdf</t>
  </si>
  <si>
    <t>C:\Users\Usuario\Mi unidad\SAMFOR\CALIDAD\2.- CERTIFICACIONES\CERTIFICACIONES SAMFOR\CERTIFICACIONES ACTUALES\CERTIFICADOS DE EQUIPOS\MULTIMETRO C232601608 SF-MED-030 .pdf</t>
  </si>
  <si>
    <t>SF-MED-052</t>
  </si>
  <si>
    <t>SF-MED-053</t>
  </si>
  <si>
    <t>C:\Users\Usuario\Mi unidad\SAMFOR\CALIDAD\2.- CERTIFICACIONES\CERTIFICACIONES SAMFOR\CERTIFICACIONES ACTUALES\CERTIFICADOS DE EQUIPOS\BOMBA PARA PRUEBA HIDRÁULICA 6559033MV.pdf</t>
  </si>
  <si>
    <t>C:\Users\Usuario\Mi unidad\SAMFOR\CALIDAD\2.- CERTIFICACIONES\CERTIFICACIONES SAMFOR\CERTIFICACIONES ACTUALES\CERTIFICADOS DE EQUIPOS\COMUNICADOR DE CAMPO 7130409.pdf</t>
  </si>
  <si>
    <t>C:\Users\Usuario\Mi unidad\SAMFOR\CALIDAD\2.- CERTIFICACIONES\CERTIFICACIONES SAMFOR\CERTIFICACIONES ACTUALES\CERTIFICADOS DE EQUIPOS\Pinza Amperimetrica 64672299MV.pdf</t>
  </si>
  <si>
    <t>SF-ARN-002</t>
  </si>
  <si>
    <t>ITEM 2</t>
  </si>
  <si>
    <t>CERTIFICAR EN PARADA</t>
  </si>
  <si>
    <t>PLANIFICADO PARA CERTIFICAR SEGUNDA QUINCENA ABRIL</t>
  </si>
  <si>
    <t>PRUEBA HIDROSTATICA
11/5/2025 HASTA 01/5/2030</t>
  </si>
  <si>
    <t>PRUEBA HIDROSTATICA
11/5/2025 HASTA 01/5/2031</t>
  </si>
  <si>
    <t>PRUEBA HIDROSTATICA
11/5/2025 HASTA 01/5/2032</t>
  </si>
  <si>
    <t>PRUEBA HIDROSTATICA
11/5/2025 HASTA 01/5/2033</t>
  </si>
  <si>
    <t>PRUEBA HIDROSTATICA
11/5/2025 HASTA 01/5/2034</t>
  </si>
  <si>
    <t>PRUEBA HIDROSTATICA
11/5/2025 HASTA 01/5/2035</t>
  </si>
  <si>
    <t>PRUEBA HIDROSTATICA
11/5/2025 HASTA 01/5/2036</t>
  </si>
  <si>
    <t>PRUEBA HIDROSTATICA
11/5/2025 HASTA 01/5/2037</t>
  </si>
  <si>
    <t>PRUEBA HIDROSTATICA
11/5/2025 HASTA 01/5/2038</t>
  </si>
  <si>
    <t>PRUEBA HIDROSTATICA
11/5/2025 HASTA 01/5/2039</t>
  </si>
  <si>
    <t>PRUEBA HIDROSTATICA
11/5/2025 HASTA 01/5/2040</t>
  </si>
  <si>
    <t>PRUEBA HIDROSTATICA
11/5/2025 HASTA 01/5/2041</t>
  </si>
  <si>
    <t>PRUEBA HIDROSTATICA
11/5/2025 HASTA 01/5/2042</t>
  </si>
  <si>
    <t>PRUEBA HIDROSTATICA
11/5/2025 HASTA 01/5/2043</t>
  </si>
  <si>
    <t>SIN SENCAMER</t>
  </si>
  <si>
    <t>SF-ESLA-004</t>
  </si>
  <si>
    <t>SF-ESLA-002A/B</t>
  </si>
  <si>
    <t>SF-ESLA-03A/B</t>
  </si>
  <si>
    <t>ESLINGA : 183644-01 CABLE DE ACERO LARGO 3.5 "</t>
  </si>
  <si>
    <t>183644-01</t>
  </si>
  <si>
    <t>C:\Users\Usuario\Mi unidad\SAMFOR\CALIDAD\2.- CERTIFICACIONES\CERTIFICACIONES SAMFOR\CERTIFICACIONES ACTUALES\CERTIFICADOS DE EQUIPOS\MEDIDOR DE CALIDAD DE ENERGÍA  67773901.pdf</t>
  </si>
  <si>
    <t>DETECTOR DE ALTA TENSION</t>
  </si>
  <si>
    <t>C:\Users\Usuario\Mi unidad\SAMFOR\CALIDAD\2.- CERTIFICACIONES\CERTIFICACIONES SAMFOR\CERTIFICACIONES ACTUALES\CERTIFICADOS DE EQUIPOS\DETECTOR DE ALTA TENSIÓN 2160194.pdf</t>
  </si>
  <si>
    <t>C:\Users\Usuario\Mi unidad\SAMFOR\CALIDAD\2.- CERTIFICACIONES\CERTIFICACIONES SAMFOR\CERTIFICACIONES ACTUALES\CERTIFICADOS DE EQUIPOS\PINZA AMPERIMETRICA 65960628MV SF-MED-052.pdf</t>
  </si>
  <si>
    <t>NOTIFICADO A FRANCESCO SAMPIERI 30/04/2026. NO SE VAN A CERTIFICAR</t>
  </si>
  <si>
    <t>ESLINGA DE IZAMIENTO 2,4" (2M) VERDE</t>
  </si>
  <si>
    <t>C:\Users\Usuario\Mi unidad\SAMFOR\CALIDAD\2.- CERTIFICACIONES\CERTIFICACIONES SAMFOR\CERTIFICACIONES ACTUALES\CERTIFICADOS DE HERRAMIENTAS\ESLINGA SINTÉTICA SF-ESL-081.pdf</t>
  </si>
  <si>
    <t>C:\Users\Usuario\Mi unidad\SAMFOR\CALIDAD\2.- CERTIFICACIONES\CERTIFICACIONES SAMFOR\CERTIFICACIONES ACTUALES\CERTIFICADOS DE HERRAMIENTAS\ESLINGA SINTÉTICA SF-ESL-080.pdf</t>
  </si>
  <si>
    <t>C:\Users\Usuario\Mi unidad\SAMFOR\CALIDAD\2.- CERTIFICACIONES\CERTIFICACIONES SAMFOR\CERTIFICACIONES ACTUALES\CERTIFICADOS DE HERRAMIENTAS\25324 ESLINGA MODELO 11 DE 25.40 MM 1_X 300 MTS DE CABLE DE ACERO AM AA ARD 180 050400055A.pdf</t>
  </si>
  <si>
    <t>C:\Users\Usuario\Mi unidad\SAMFOR\CALIDAD\2.- CERTIFICACIONES\CERTIFICACIONES SAMFOR\CERTIFICACIONES ACTUALES\CERTIFICADOS DE HERRAMIENTAS\ARNES Y CABO DE VIDA SF-ARN-026 .pdf</t>
  </si>
  <si>
    <t>C:\Users\Usuario\Mi unidad\SAMFOR\CALIDAD\2.- CERTIFICACIONES\CERTIFICACIONES SAMFOR\CERTIFICACIONES ACTUALES\CERTIFICADOS DE HERRAMIENTAS\ARNES Y CABO DE VIDA SF-ARN-027.pdf</t>
  </si>
  <si>
    <t>C:\Users\Usuario\Mi unidad\SAMFOR\CALIDAD\2.- CERTIFICACIONES\CERTIFICACIONES SAMFOR\CERTIFICACIONES ACTUALES\CERTIFICADOS DE HERRAMIENTAS\ARNES Y CABO DE VIDA SF-ARN-028.pdf</t>
  </si>
  <si>
    <t>C:\Users\Usuario\Mi unidad\SAMFOR\CALIDAD\2.- CERTIFICACIONES\CERTIFICACIONES SAMFOR\CERTIFICACIONES ACTUALES\CERTIFICADOS DE MAQUINARIA PESADA\VACUUM 08011253 SMP-463.pdf</t>
  </si>
  <si>
    <t>C:\Users\Usuario\Mi unidad\SAMFOR\CALIDAD\2.- CERTIFICACIONES\CERTIFICACIONES SAMFOR\CERTIFICACIONES ACTUALES\CERTIFICADOS DE MAQUINARIA PESADA\PIN REY (Vacuum) SMP-463.pdf</t>
  </si>
  <si>
    <t>C:\Users\Usuario\Mi unidad\SAMFOR\CALIDAD\2.- CERTIFICACIONES\CERTIFICACIONES SAMFOR\CERTIFICACIONES ACTUALES\CERTIFICADOS DE MAQUINARIA PESADA\IZAMIENTO_LIFT FIXTURE (Avion) SF-LF-001.pdf</t>
  </si>
  <si>
    <t>C:\Users\Usuario\Mi unidad\SAMFOR\CALIDAD\2.- CERTIFICACIONES\CERTIFICACIONES SAMFOR\CERTIFICACIONES ACTUALES\CERTIFICADOS DE MAQUINARIA PESADA\DOLLY IZAMIENTO SKID PTB GD02 .pdf</t>
  </si>
  <si>
    <t>C:\Users\Usuario\Mi unidad\SAMFOR\CALIDAD\2.- CERTIFICACIONES\CERTIFICACIONES SAMFOR\CERTIFICACIONES ACTUALES\CERTIFICADOS DE EQUIPOS\GRÚA DE CADENA  SF-POL-003.pdf</t>
  </si>
  <si>
    <t>C:\Users\Usuario\Mi unidad\SAMFOR\CALIDAD\2.- CERTIFICACIONES\CERTIFICACIONES SAMFOR\CERTIFICACIONES ACTUALES\CERTIFICADOS DE EQUIPOS\GRÚA DE CADENA SF-POL-004.pdf</t>
  </si>
  <si>
    <t>C:\Users\Usuario\Mi unidad\SAMFOR\CALIDAD\2.- CERTIFICACIONES\CERTIFICACIONES SAMFOR\CERTIFICACIONES ACTUALES\CERTIFICADOS DE EQUIPOS\GRÚA DE CADENA SF-POL-006.pdf</t>
  </si>
  <si>
    <t>C:\Users\Usuario\Mi unidad\SAMFOR\CALIDAD\2.- CERTIFICACIONES\CERTIFICACIONES SAMFOR\CERTIFICACIONES ACTUALES\CERTIFICADOS DE EQUIPOS\GRÚA DE CADENA  SF-POL-010.pdf</t>
  </si>
  <si>
    <t>SF-TRO-001</t>
  </si>
  <si>
    <t>GRUA  (TROLLEY)</t>
  </si>
  <si>
    <t>C:\Users\Usuario\Mi unidad\SAMFOR\CALIDAD\2.- CERTIFICACIONES\CERTIFICACIONES SAMFOR\CERTIFICACIONES ACTUALES\CERTIFICADOS DE MAQUINARIA PESADA\TROLLEY (Ajustable) SF-TRO-001.pdf</t>
  </si>
  <si>
    <t>C:\Users\Usuario\Mi unidad\SAMFOR\CALIDAD\2.- CERTIFICACIONES\CERTIFICACIONES SAMFOR\CERTIFICACIONES ACTUALES\CERTIFICADOS DE HERRAMIENTAS\ESLINGA DE ACERO SF-ESLA-002AB.pdf</t>
  </si>
  <si>
    <t>C:\Users\Usuario\Mi unidad\SAMFOR\CALIDAD\2.- CERTIFICACIONES\CERTIFICACIONES SAMFOR\CERTIFICACIONES ACTUALES\CERTIFICADOS DE HERRAMIENTAS\ESLINGA DE ACERO SF-ESLA-003AB.pdf</t>
  </si>
  <si>
    <t>C:\Users\Usuario\Mi unidad\SAMFOR\CALIDAD\2.- CERTIFICACIONES\CERTIFICACIONES SAMFOR\CERTIFICACIONES ACTUALES\CERTIFICADOS DE HERRAMIENTAS\ESLINGA DE ACERO SF-ESLA-004.pdf</t>
  </si>
  <si>
    <t>C:\Users\Usuario\Mi unidad\SAMFOR\CALIDAD\2.- CERTIFICACIONES\CERTIFICACIONES SAMFOR\CERTIFICACIONES ACTUALES\CERTIFICADOS DE HERRAMIENTAS\ESLINGA SINTETICA SF-ESL-029, 030.pdf</t>
  </si>
  <si>
    <t>SMP-466</t>
  </si>
  <si>
    <t>EXCAVADORA</t>
  </si>
  <si>
    <t>JOHN DEERE/ 350D LC</t>
  </si>
  <si>
    <t>1,8 MT3</t>
  </si>
  <si>
    <t>FF350DX805371</t>
  </si>
  <si>
    <t>C:\Users\Usuario\Mi unidad\SAMFOR\CALIDAD\2.- CERTIFICACIONES\CERTIFICACIONES SAMFOR\CERTIFICACIONES ACTUALES\CERTIFICADOS DE MAQUINARIA PESADA\EXCAVADORA SMP-466 .pdf</t>
  </si>
  <si>
    <t>A-1008401</t>
  </si>
  <si>
    <t>0-250 A</t>
  </si>
  <si>
    <t>LINCOLN</t>
  </si>
  <si>
    <t>SF-ESL-045/048</t>
  </si>
  <si>
    <t>SF-ESL-049/052</t>
  </si>
  <si>
    <t>ESLINGA POLIESTER ALTA TENACIDAD (AMARRILLO)
3,5 INCH X 1MTS</t>
  </si>
  <si>
    <t xml:space="preserve"> 162422/ 162423/ 162424/ 162425</t>
  </si>
  <si>
    <t>162423/ SF-ESL-050- NO APTO</t>
  </si>
  <si>
    <t>C:\Users\Usuario\Mi unidad\SAMFOR\CALIDAD\2.- CERTIFICACIONES\CERTIFICACIONES SAMFOR\CERTIFICACIONES ACTUALES\CERTIFICADOS DE HERRAMIENTAS\ESLINGA SINTETICA SF-ESL-049, 050, 051, 052.pdf</t>
  </si>
  <si>
    <t>GRILLETES (AVION)</t>
  </si>
  <si>
    <t>C:\Users\Usuario\Mi unidad\SAMFOR\CALIDAD\2.- CERTIFICACIONES\CERTIFICACIONES SAMFOR\CERTIFICACIONES ACTUALES\CERTIFICADOS DE HERRAMIENTAS\GRILLETES 5-8 4  UNIDADES (LF-1,2,3,4).pdf</t>
  </si>
  <si>
    <t>C:\Users\Usuario\Mi unidad\SAMFOR\CALIDAD\2.- CERTIFICACIONES\CERTIFICACIONES SAMFOR\CERTIFICACIONES ACTUALES\CERTIFICADOS DE HERRAMIENTAS\GRILLETES 5-8 INCH 4 UNIDADES .pdf</t>
  </si>
  <si>
    <t>DCH-1/2/3/5</t>
  </si>
  <si>
    <t>CAMPBELL/G-2130</t>
  </si>
  <si>
    <t>V5-1</t>
  </si>
  <si>
    <t>C:\Users\Usuario\Mi unidad\SAMFOR\CALIDAD\2.- CERTIFICACIONES\CERTIFICACIONES SAMFOR\CERTIFICACIONES ACTUALES\CERTIFICADOS DE HERRAMIENTAS\GRILLETES 5-8 INCH 4 UNIDADES.pdf</t>
  </si>
  <si>
    <t>C:\Users\Usuario\Mi unidad\SAMFOR\CALIDAD\2.- CERTIFICACIONES\CERTIFICACIONES SAMFOR\CERTIFICACIONES ACTUALES\CERTIFICADOS DE HERRAMIENTAS\GRILLETES  7-8 INCH 4 UNIDADES.pdf</t>
  </si>
  <si>
    <t>C:\Users\Usuario\Mi unidad\SAMFOR\CALIDAD\2.- CERTIFICACIONES\CERTIFICACIONES SAMFOR\CERTIFICACIONES ACTUALES\CERTIFICADOS DE HERRAMIENTAS\GRILLETES 3-4 INCH 4 UNIDADES.pdf</t>
  </si>
  <si>
    <t>1/2 INCH X 2 T</t>
  </si>
  <si>
    <t>C-209</t>
  </si>
  <si>
    <t>CE 1,2,3,4</t>
  </si>
  <si>
    <t>C:\Users\Usuario\Mi unidad\SAMFOR\CALIDAD\2.- CERTIFICACIONES\CERTIFICACIONES SAMFOR\CERTIFICACIONES ACTUALES\CERTIFICADOS DE HERRAMIENTAS\GRILLETES 1-2 INCH 4 UNIDADES .pdf</t>
  </si>
  <si>
    <t>1/2/3/4</t>
  </si>
  <si>
    <t>USA / G-209</t>
  </si>
  <si>
    <t>3/8 X 1 T</t>
  </si>
  <si>
    <t>C:\Users\Usuario\Mi unidad\SAMFOR\CALIDAD\2.- CERTIFICACIONES\CERTIFICACIONES SAMFOR\CERTIFICACIONES ACTUALES\CERTIFICADOS DE HERRAMIENTAS\GRILLETES 3-8 INCH 4 UNIDADES.pdf</t>
  </si>
  <si>
    <t>SVP-203</t>
  </si>
  <si>
    <t>C:\Users\Usuario\Mi unidad\SAMFOR\CALIDAD\2.- CERTIFICACIONES\CERTIFICACIONES SAMFOR\CERTIFICACIONES ACTUALES\CERTIFICADOS DE HERRAMIENTAS\SF-736 CERTIFICADO SEGURIDAD.pdf</t>
  </si>
  <si>
    <t>C:\Users\Usuario\Mi unidad\SAMFOR\CALIDAD\2.- CERTIFICACIONES\CERTIFICACIONES SAMFOR\CERTIFICACIONES ACTUALES\CERTIFICADOS DE HERRAMIENTAS\SF-741 CERTIFICADO COMPUERTA.pdf</t>
  </si>
  <si>
    <t>C:\Users\Usuario\Mi unidad\SAMFOR\CALIDAD\2.- CERTIFICACIONES\CERTIFICACIONES SAMFOR\CERTIFICACIONES ACTUALES\CERTIFICADOS DE HERRAMIENTAS\SF-742 CERTIFICADO COMPUERTA.pdf</t>
  </si>
  <si>
    <t>C:\Users\Usuario\Mi unidad\SAMFOR\CALIDAD\2.- CERTIFICACIONES\CERTIFICACIONES SAMFOR\CERTIFICACIONES ACTUALES\CERTIFICADOS DE HERRAMIENTAS\SF-743 CERTIFICADO COMPUERTA.pdf</t>
  </si>
  <si>
    <t>C:\Users\Usuario\Mi unidad\SAMFOR\CALIDAD\2.- CERTIFICACIONES\CERTIFICACIONES SAMFOR\CERTIFICACIONES ACTUALES\CERTIFICADOS DE HERRAMIENTAS\SF-744 CERTIFICADO COMPUERTA.pdf</t>
  </si>
  <si>
    <t>C:\Users\Usuario\Mi unidad\SAMFOR\CALIDAD\2.- CERTIFICACIONES\CERTIFICACIONES SAMFOR\CERTIFICACIONES ACTUALES\CERTIFICADOS DE HERRAMIENTAS\SF-745 CERTIFICADO BOLA.pdf</t>
  </si>
  <si>
    <t>C:\Users\Usuario\Mi unidad\SAMFOR\CALIDAD\2.- CERTIFICACIONES\CERTIFICACIONES SAMFOR\CERTIFICACIONES ACTUALES\CERTIFICADOS DE HERRAMIENTAS\SF-746 CERTIFICADO DILUVIO.pdf</t>
  </si>
  <si>
    <t>C:\Users\Usuario\Mi unidad\SAMFOR\CALIDAD\2.- CERTIFICACIONES\CERTIFICACIONES SAMFOR\CERTIFICACIONES ACTUALES\CERTIFICADOS DE HERRAMIENTAS\VALVULA DE SEGURIDAD SB01227 .pdf</t>
  </si>
  <si>
    <t>C:\Users\Usuario\Mi unidad\SAMFOR\CALIDAD\2.- CERTIFICACIONES\CERTIFICACIONES SAMFOR\CERTIFICACIONES ACTUALES\CERTIFICADOS DE HERRAMIENTAS\VALVULA DE SEGURIDAD SA95397 .pdf</t>
  </si>
  <si>
    <t>C:\Users\Usuario\Mi unidad\SAMFOR\CALIDAD\2.- CERTIFICACIONES\CERTIFICACIONES SAMFOR\CERTIFICACIONES ACTUALES\CERTIFICADOS DE MAQUINARIA PESADA\GRÚA ARTICULADA 3641 SAMFOR.pdf</t>
  </si>
  <si>
    <t>C:\Users\Usuario\Mi unidad\SAMFOR\CALIDAD\2.- CERTIFICACIONES\CERTIFICACIONES SAMFOR\CERTIFICACIONES ACTUALES\CERTIFICADOS DE HERRAMIENTAS\ARNÉS Y CABO DE VIDA 003 004.PDF</t>
  </si>
  <si>
    <t>C:\Users\Usuario\Mi unidad\SAMFOR\CALIDAD\2.- CERTIFICACIONES\CERTIFICACIONES SAMFOR\CERTIFICACIONES ACTUALES\CERTIFICADOS DE EQUIPOS\SF6-GAS SÚPER LIQUEFACTION SYSTEM L2370X.pdf</t>
  </si>
  <si>
    <t>C:\Users\Usuario\Mi unidad\SAMFOR\CALIDAD\2.- CERTIFICACIONES\CERTIFICACIONES SAMFOR\CERTIFICACIONES ACTUALES\CERTIFICADOS DE MAQUINARIA PESADA\QUINTA RUEDA C06004862T SVP163 .pdf</t>
  </si>
  <si>
    <t>SVP-163</t>
  </si>
  <si>
    <t>C:\Users\Usuario\Mi unidad\SAMFOR\CALIDAD\2.- CERTIFICACIONES\CERTIFICACIONES SAMFOR\CERTIFICACIONES ACTUALES\CERTIFICADOS DE EQUIPOS\MAQUINA DE SOLDAR  A-1008401.pdf</t>
  </si>
  <si>
    <t>PDVSA</t>
  </si>
  <si>
    <t>NUEVO</t>
  </si>
  <si>
    <t>(1 UND)</t>
  </si>
  <si>
    <t>PROTO/ J94029</t>
  </si>
  <si>
    <t>x</t>
  </si>
  <si>
    <t>7/8 / 6500 KG</t>
  </si>
  <si>
    <t>DCH-1/2/3/4</t>
  </si>
  <si>
    <t>3/4/ 4750 KG</t>
  </si>
  <si>
    <t>SF-POL-011</t>
  </si>
  <si>
    <t>SF-ARN-031/040</t>
  </si>
  <si>
    <t>CABO DE VIDA 1,98 M</t>
  </si>
  <si>
    <t>59-140 KG</t>
  </si>
  <si>
    <t>VAULTEX/EAL 10101-1</t>
  </si>
  <si>
    <t>TORQUIMETRO DE 1/4"</t>
  </si>
  <si>
    <t>K5 5140200046</t>
  </si>
  <si>
    <t>K5 5140200155</t>
  </si>
  <si>
    <t>H5 5040202197</t>
  </si>
  <si>
    <t xml:space="preserve"> H5 5040202191</t>
  </si>
  <si>
    <t>L5 5240301935</t>
  </si>
  <si>
    <t xml:space="preserve"> L5 5240301607</t>
  </si>
  <si>
    <t xml:space="preserve"> H5 5240202447</t>
  </si>
  <si>
    <t xml:space="preserve"> H5 5240202433</t>
  </si>
  <si>
    <t>TEKTON</t>
  </si>
  <si>
    <t>40-200 FT-LBS</t>
  </si>
  <si>
    <t>40-300 FT-LBS</t>
  </si>
  <si>
    <t>20-200 FT-LBS</t>
  </si>
  <si>
    <t>10-100 FT-LBS</t>
  </si>
  <si>
    <t>SF-MED-054</t>
  </si>
  <si>
    <t>SF-MED-055</t>
  </si>
  <si>
    <t>TOPTES/GUARD-101</t>
  </si>
  <si>
    <t>C:\Users\Usuario\Mi unidad\SAMFOR\CALIDAD\2.- CERTIFICACIONES\CERTIFICACIONES SAMFOR\CERTIFICACIONES ACTUALES\CERTIFICADOS DE EQUIPOS\TORQUIMETRO 3-8 K5 5140200155.pdf</t>
  </si>
  <si>
    <t>C:\Users\Usuario\Mi unidad\SAMFOR\CALIDAD\2.- CERTIFICACIONES\CERTIFICACIONES SAMFOR\CERTIFICACIONES ACTUALES\CERTIFICADOS DE EQUIPOS\TORQUIMETRO 1-2 H5 5240202433.pdf</t>
  </si>
  <si>
    <t>C:\Users\Usuario\Mi unidad\SAMFOR\CALIDAD\2.- CERTIFICACIONES\CERTIFICACIONES SAMFOR\CERTIFICACIONES ACTUALES\CERTIFICADOS DE EQUIPOS\TORQUIMETRO 1-2 H5 5240202447.pdf</t>
  </si>
  <si>
    <t>C:\Users\Usuario\Mi unidad\SAMFOR\CALIDAD\2.- CERTIFICACIONES\CERTIFICACIONES SAMFOR\CERTIFICACIONES ACTUALES\CERTIFICADOS DE EQUIPOS\TORQUIMETRO 1-2 L5 5240301607.pdf</t>
  </si>
  <si>
    <t>C:\Users\Usuario\Mi unidad\SAMFOR\CALIDAD\2.- CERTIFICACIONES\CERTIFICACIONES SAMFOR\CERTIFICACIONES ACTUALES\CERTIFICADOS DE EQUIPOS\TORQUIMETRO 1-2 L5 5240301935.pdf</t>
  </si>
  <si>
    <t>C:\Users\Usuario\Mi unidad\SAMFOR\CALIDAD\2.- CERTIFICACIONES\CERTIFICACIONES SAMFOR\CERTIFICACIONES ACTUALES\CERTIFICADOS DE EQUIPOS\TORQUIMETRO 1-4 H5 5040202191.pdf</t>
  </si>
  <si>
    <t>C:\Users\Usuario\Mi unidad\SAMFOR\CALIDAD\2.- CERTIFICACIONES\CERTIFICACIONES SAMFOR\CERTIFICACIONES ACTUALES\CERTIFICADOS DE EQUIPOS\TORQUIMETRO 1-4 H5 5040202197.pdf</t>
  </si>
  <si>
    <t>C:\Users\Usuario\Mi unidad\SAMFOR\CALIDAD\2.- CERTIFICACIONES\CERTIFICACIONES SAMFOR\CERTIFICACIONES ACTUALES\CERTIFICADOS DE EQUIPOS\TORQUIMETRO 3-8 K5 5140200046.pdf</t>
  </si>
  <si>
    <t>C:\Users\Usuario\Mi unidad\SAMFOR\CALIDAD\2.- CERTIFICACIONES\CERTIFICACIONES SAMFOR\CERTIFICACIONES ACTUALES\CERTIFICADOS DE EQUIPOS\DETECTOR MULTIGAS SF-MED-055.pdf</t>
  </si>
  <si>
    <t>C:\Users\Usuario\Mi unidad\SAMFOR\CALIDAD\2.- CERTIFICACIONES\CERTIFICACIONES SAMFOR\CERTIFICACIONES ACTUALES\CERTIFICADOS DE EQUIPOS\DETECTOR MULTIGAS SF-MED-053.pdf</t>
  </si>
  <si>
    <t>C:\Users\Usuario\Mi unidad\SAMFOR\CALIDAD\2.- CERTIFICACIONES\CERTIFICACIONES SAMFOR\CERTIFICACIONES ACTUALES\CERTIFICADOS DE EQUIPOS\DETECTOR MULTIGAS SF-MED-054.pdf</t>
  </si>
  <si>
    <t>C:\Users\Usuario\Mi unidad\SAMFOR\CALIDAD\2.- CERTIFICACIONES\CERTIFICACIONES SAMFOR\CERTIFICACIONES ACTUALES\CERTIFICADOS DE HERRAMIENTAS\CABO DE VIDA 1M SF-ARN-031-040.pdf</t>
  </si>
  <si>
    <t>C:\Users\Usuario\Mi unidad\SAMFOR\CALIDAD\2.- CERTIFICACIONES\CERTIFICACIONES SAMFOR\CERTIFICACIONES ACTUALES\CERTIFICADOS DE EQUIPOS\GRUA DE CADENA  SF-POL-011.pdf</t>
  </si>
  <si>
    <t>C:\Users\Usuario\Mi unidad\SAMFOR\CALIDAD\2.- CERTIFICACIONES\CERTIFICACIONES SAMFOR\CERTIFICACIONES ACTUALES\CERTIFICADOS DE MAQUINARIA PESADA\GRUA MONORRIEL BG1 ZLG-6087.pdf</t>
  </si>
  <si>
    <t>C:\Users\Usuario\Mi unidad\SAMFOR\CALIDAD\2.- CERTIFICACIONES\CERTIFICACIONES SAMFOR\CERTIFICACIONES ACTUALES\CERTIFICADOS DE HERRAMIENTAS\CÃNCAMOS 1 x 13300Lb SF-CPT-1.pdf</t>
  </si>
  <si>
    <t>C:\Users\Usuario\Mi unidad\SAMFOR\CALIDAD\2.- CERTIFICACIONES\CERTIFICACIONES SAMFOR\CERTIFICACIONES ACTUALES\CERTIFICADOS DE HERRAMIENTAS\CÃNCAMOS 1 x 13300Lb SF-CPT-2.pdf</t>
  </si>
  <si>
    <t>13300 LB</t>
  </si>
  <si>
    <t>AREA GENERADOR</t>
  </si>
  <si>
    <t>APAREJOS DE IZAMIENTO (CANCAMOS)
BG-1  AREA GENERADOR</t>
  </si>
  <si>
    <t>APAREJOS DE IZAMIENTO (CANCAMOS)
BG-2 AREA GENERADOR</t>
  </si>
  <si>
    <t>APAREJOS DE IZAMIENTO (CANCAMOS)
BG-1  AREA TURBINA</t>
  </si>
  <si>
    <t>APAREJOS DE IZAMIENTO (CANCAMOS)
BG-2 AREA TURBINA (FILTROS PALL)</t>
  </si>
  <si>
    <t>C-1/C-17</t>
  </si>
  <si>
    <t>CROSBY</t>
  </si>
  <si>
    <t>C-1/C-2</t>
  </si>
  <si>
    <t>2700 LBS</t>
  </si>
  <si>
    <t>VARIADAS</t>
  </si>
  <si>
    <t>C:\Users\Usuario\Mi unidad\SAMFOR\CALIDAD\2.- CERTIFICACIONES\CERTIFICACIONES SAMFOR\CERTIFICACIONES ACTUALES\CERTIFICADOS DE HERRAMIENTAS\CÃNCAMOS BG01 ENCLOSURE TURBINA.pdf</t>
  </si>
  <si>
    <t>C:\Users\Usuario\Mi unidad\SAMFOR\CALIDAD\2.- CERTIFICACIONES\CERTIFICACIONES SAMFOR\CERTIFICACIONES ACTUALES\CERTIFICADOS DE HERRAMIENTAS\CÃNCAMOS BG02 ENCLOSURE TURBINA.pdf</t>
  </si>
  <si>
    <t>SF-CPT-1</t>
  </si>
  <si>
    <t>SF-CPT-2</t>
  </si>
  <si>
    <t>SF-ARN-041/050</t>
  </si>
  <si>
    <t>CABO DE VIDA 1,98 M RECTRACTIL</t>
  </si>
  <si>
    <t>PALOMA/SJD-RTW2M-CE</t>
  </si>
  <si>
    <t>15 KN</t>
  </si>
  <si>
    <t>PENDIENTE POR REPARAR</t>
  </si>
  <si>
    <t>FECHA DE FABRICACIÓN</t>
  </si>
  <si>
    <t>FECHA DE VIDA UTIL</t>
  </si>
  <si>
    <t>SF-ARN-031</t>
  </si>
  <si>
    <t>SF-ARN-032</t>
  </si>
  <si>
    <t>VAULTEX/EAL 10101-2</t>
  </si>
  <si>
    <t>SF-ARN-033</t>
  </si>
  <si>
    <t>VAULTEX/EAL 10101-3</t>
  </si>
  <si>
    <t>SF-ARN-034</t>
  </si>
  <si>
    <t>VAULTEX/EAL 10101-4</t>
  </si>
  <si>
    <t>SF-ARN-035</t>
  </si>
  <si>
    <t>VAULTEX/EAL 10101-5</t>
  </si>
  <si>
    <t>SF-ARN-036</t>
  </si>
  <si>
    <t>VAULTEX/EAL 10101-6</t>
  </si>
  <si>
    <t>SF-ARN-037</t>
  </si>
  <si>
    <t>VAULTEX/EAL 10101-7</t>
  </si>
  <si>
    <t>SF-ARN-038</t>
  </si>
  <si>
    <t>VAULTEX/EAL 10101-8</t>
  </si>
  <si>
    <t>SF-ARN-039</t>
  </si>
  <si>
    <t>VAULTEX/EAL 10101-9</t>
  </si>
  <si>
    <t>SF-ARN-040</t>
  </si>
  <si>
    <t>VAULTEX/EAL 10101-10</t>
  </si>
  <si>
    <t>SF-ARN-041</t>
  </si>
  <si>
    <t>SF-ARN-042</t>
  </si>
  <si>
    <t>SF-ARN-043</t>
  </si>
  <si>
    <t>SF-ARN-044</t>
  </si>
  <si>
    <t>SF-ARN-045</t>
  </si>
  <si>
    <t>SF-ARN-046</t>
  </si>
  <si>
    <t>SF-ARN-047</t>
  </si>
  <si>
    <t>16 KN</t>
  </si>
  <si>
    <t>17 KN</t>
  </si>
  <si>
    <t>18 KN</t>
  </si>
  <si>
    <t>19 KN</t>
  </si>
  <si>
    <t>20 KN</t>
  </si>
  <si>
    <t>21 KN</t>
  </si>
  <si>
    <t>22 KN</t>
  </si>
  <si>
    <t>23 KN</t>
  </si>
  <si>
    <t>24 KN</t>
  </si>
  <si>
    <t>SF-ARN-048</t>
  </si>
  <si>
    <t>SF-ARN-049</t>
  </si>
  <si>
    <t>SF-ARN-050</t>
  </si>
  <si>
    <t>FA30401
FA30401
0472
0351
0259
0436
0473</t>
  </si>
  <si>
    <t>141 KG</t>
  </si>
  <si>
    <t>FA30401
FA30401
0472
0351
0259
0436
0474</t>
  </si>
  <si>
    <t>142 KG</t>
  </si>
  <si>
    <t>FA30401
FA30401
0472
0351
0259
0436
0475</t>
  </si>
  <si>
    <t>143 KG</t>
  </si>
  <si>
    <t>FA30401
FA30401
0472
0351
0259
0436
0476</t>
  </si>
  <si>
    <t>144 KG</t>
  </si>
  <si>
    <t>SF-ARN-012</t>
  </si>
  <si>
    <t>SF-ARN-013</t>
  </si>
  <si>
    <t>SF-ARN-014</t>
  </si>
  <si>
    <t>SF-ARN-015</t>
  </si>
  <si>
    <t>SF-ARN-016</t>
  </si>
  <si>
    <t>SF-ARN-020
SF-ARN-022</t>
  </si>
  <si>
    <t>SF-ARN-010</t>
  </si>
  <si>
    <t xml:space="preserve">SF-ARN-008
</t>
  </si>
  <si>
    <t>S-LF-02</t>
  </si>
  <si>
    <t>LM6000 / 288870-C</t>
  </si>
  <si>
    <t>BPL-151905-01</t>
  </si>
  <si>
    <t>GRILLETES (AVION 2)</t>
  </si>
  <si>
    <t>JW 217
JW218</t>
  </si>
  <si>
    <t>TAMAÑO: 3/4´
CAPACIDAD:4750 KG</t>
  </si>
  <si>
    <t>JW 219
JW220</t>
  </si>
  <si>
    <t>TAMAÑO: 5/8´
CAPACIDAD:3250KG</t>
  </si>
  <si>
    <t>LWS/G-2130</t>
  </si>
  <si>
    <t>LWS-G2130</t>
  </si>
  <si>
    <t>SF-ESLA-05A/B</t>
  </si>
  <si>
    <t>JW-215
JW-216</t>
  </si>
  <si>
    <t>ESLINGA CABLE DE ACERO 3/4" X 1 MTS</t>
  </si>
  <si>
    <t>CAP:4,26 T</t>
  </si>
  <si>
    <t>SF-ESL-082</t>
  </si>
  <si>
    <t>SF-ESL-083</t>
  </si>
  <si>
    <t>SF-ESL-084</t>
  </si>
  <si>
    <t>SF-ESL-085</t>
  </si>
  <si>
    <t>ESLINGA DE IZAMIENTO 1" (1M) NARANJA</t>
  </si>
  <si>
    <t>.022601</t>
  </si>
  <si>
    <t>EC1B-1B</t>
  </si>
  <si>
    <t>EC2B-2</t>
  </si>
  <si>
    <t>KG.U 2,000
KG.VERTICAL 1 ,000
KG.LAZO 800</t>
  </si>
  <si>
    <t>KG.U 4000
KG.VERTICAL 2,000
KG.LAZO 1,600</t>
  </si>
  <si>
    <t>C:\Users\Usuario\Mi unidad\SAMFOR\CALIDAD\2.- CERTIFICACIONES\CERTIFICACIONES SAMFOR\CERTIFICACIONES ACTUALES\CERTIFICADOS DE HERRAMIENTAS\ESLINGA 1” X 1m 482439-482440 SF-ESL-082-083.pdf</t>
  </si>
  <si>
    <t>C:\Users\Usuario\Mi unidad\SAMFOR\CALIDAD\2.- CERTIFICACIONES\CERTIFICACIONES SAMFOR\CERTIFICACIONES ACTUALES\CERTIFICADOS DE HERRAMIENTAS\ESLINGAS 2,4”x2M 0023601-472535 SF-ESL-084-085.pdf</t>
  </si>
  <si>
    <t>C:\Users\Usuario\Mi unidad\SAMFOR\CALIDAD\2.- CERTIFICACIONES\CERTIFICACIONES SAMFOR\CERTIFICACIONES ACTUALES\CERTIFICADOS DE MAQUINARIA PESADA\IZAMIENTO LIFT FIXTURE SF-LF-002 .pdf</t>
  </si>
  <si>
    <t xml:space="preserve">AJUSTABLE </t>
  </si>
  <si>
    <t>C:\Users\Usuario\Mi unidad\SAMFOR\CALIDAD\2.- CERTIFICACIONES\CERTIFICACIONES SAMFOR\CERTIFICACIONES ACTUALES\CERTIFICADOS DE HERRAMIENTAS\ESLINGA DE ACERO JW-215-JW-216 SL-ESLA-005A-B.pdf</t>
  </si>
  <si>
    <t>C:\Users\Usuario\Mi unidad\SAMFOR\CALIDAD\2.- CERTIFICACIONES\CERTIFICACIONES SAMFOR\CERTIFICACIONES ACTUALES\CERTIFICADOS DE HERRAMIENTAS\GRILLETES JW219-JW220 .pdf</t>
  </si>
  <si>
    <t>C:\Users\Usuario\Mi unidad\SAMFOR\CALIDAD\2.- CERTIFICACIONES\CERTIFICACIONES SAMFOR\CERTIFICACIONES ACTUALES\CERTIFICADOS DE HERRAMIENTAS\GRILLETES JW217-JW218 .pdf</t>
  </si>
  <si>
    <t>C:\Users\Usuario\Mi unidad\SAMFOR\CALIDAD\2.- CERTIFICACIONES\CERTIFICACIONES SAMFOR\CERTIFICACIONES ACTUALES\CERTIFICADOS DE HERRAMIENTAS\CABO DE VIDA 1,98 M RECTRACTIL.pdf</t>
  </si>
  <si>
    <t>SF-ESLA-005A/B</t>
  </si>
  <si>
    <t>SF-ESLA-003A/B</t>
  </si>
  <si>
    <t>SF-MED-056</t>
  </si>
  <si>
    <t>C:\Users\Usuario\Mi unidad\SAMFOR\CALIDAD\2.- CERTIFICACIONES\CERTIFICACIONES SAMFOR\CERTIFICACIONES ACTUALES\CERTIFICADOS DE EQUIPOS\DETECTOR MULTIGAS SF-MED-056.pdf</t>
  </si>
  <si>
    <t>SF-MED-057</t>
  </si>
  <si>
    <t>PERDIDO</t>
  </si>
  <si>
    <t>CAMPBELL/G2130</t>
  </si>
  <si>
    <t>V41 / V42</t>
  </si>
  <si>
    <t>V51</t>
  </si>
  <si>
    <t>CAMPBELL / G2130</t>
  </si>
  <si>
    <t>SF-ESLA-006</t>
  </si>
  <si>
    <t>ESLINGA CABLE DE ACERO 5/8" X 0,6 MTS</t>
  </si>
  <si>
    <t>CAP: 3,2 T</t>
  </si>
  <si>
    <t>SML-409</t>
  </si>
  <si>
    <t>A46JRT04170600664</t>
  </si>
  <si>
    <t>SNORKEL/A46JRT</t>
  </si>
  <si>
    <t>227 KG</t>
  </si>
  <si>
    <t>C:\Users\Usuario\Mi unidad\SAMFOR\CALIDAD\2.- CERTIFICACIONES\CERTIFICACIONES SAMFOR\CERTIFICACIONES ACTUALES\CERTIFICADOS DE HERRAMIENTAS\ESLINGA DE ACERO SF-ESLA-006.pdf</t>
  </si>
  <si>
    <t>C:\Users\Usuario\Mi unidad\SAMFOR\CALIDAD\2.- CERTIFICACIONES\CERTIFICACIONES SAMFOR\CERTIFICACIONES ACTUALES\CERTIFICADOS DE HERRAMIENTAS\GRILLETES (2) V41 V42.pdf</t>
  </si>
  <si>
    <t>C:\Users\Usuario\Mi unidad\SAMFOR\CALIDAD\2.- CERTIFICACIONES\CERTIFICACIONES SAMFOR\CERTIFICACIONES ACTUALES\CERTIFICADOS DE HERRAMIENTAS\GRILLETES (1) V51.pdf</t>
  </si>
  <si>
    <t>C:\Users\Usuario\Mi unidad\SAMFOR\CALIDAD\2.- CERTIFICACIONES\CERTIFICACIONES SAMFOR\CERTIFICACIONES ACTUALES\CERTIFICADOS DE MAQUINARIA PESADA\MONTACARGAS 9450FB SAMFOR SML-400.pdf</t>
  </si>
  <si>
    <t>C:\Users\Usuario\Mi unidad\SAMFOR\CALIDAD\2.- CERTIFICACIONES\CERTIFICACIONES SAMFOR\CERTIFICACIONES ACTUALES\CERTIFICADOS DE MAQUINARIA PESADA\ELEVADOR DE PERSONAL  # 04170600664 SML-409.pdf</t>
  </si>
  <si>
    <t xml:space="preserve">ARNES </t>
  </si>
  <si>
    <t>SF-ARN-017</t>
  </si>
  <si>
    <t>SF-ARN-018</t>
  </si>
  <si>
    <t>CABO NO APTO</t>
  </si>
  <si>
    <t>NO APTO CABO</t>
  </si>
  <si>
    <t>PRESTAMO</t>
  </si>
  <si>
    <t>NO APTA INSPECCIONADA EL 22/06</t>
  </si>
  <si>
    <t>30 T</t>
  </si>
  <si>
    <t>GROVE/AT633B</t>
  </si>
  <si>
    <t>C:\Users\Usuario\Mi unidad\SAMFOR\CALIDAD\2.- CERTIFICACIONES\CERTIFICACIONES SAMFOR\CERTIFICACIONES ACTUALES\CERTIFICADOS DE EQUIPOS\GRÚA TELESCÓPICA 81742 30T.pdf</t>
  </si>
  <si>
    <t>LINCOLN / SA-250 D3.152</t>
  </si>
  <si>
    <t>U1990203461</t>
  </si>
  <si>
    <t>C:\Users\Usuario\Mi unidad\SAMFOR\CALIDAD\2.- CERTIFICACIONES\CERTIFICACIONES SAMFOR\CERTIFICACIONES ACTUALES\CERTIFICADOS DE EQUIPOS\MAQUINA DE SOLDAR U1990203461.pdf</t>
  </si>
  <si>
    <t>AMERITA TRAJETA PARA QUE SE VISUALICE EL VOLTAJE</t>
  </si>
  <si>
    <t>SF-ARN-051</t>
  </si>
  <si>
    <t>SF-ARN-052</t>
  </si>
  <si>
    <t>SF-ARN-053</t>
  </si>
  <si>
    <t>SF-ARN-054</t>
  </si>
  <si>
    <t>SF-ARN-055</t>
  </si>
  <si>
    <t>SF-ARN-056</t>
  </si>
  <si>
    <t>SF-ARN-057</t>
  </si>
  <si>
    <t>SF-ARN-058</t>
  </si>
  <si>
    <t>C:\Users\Usuario\Mi unidad\SAMFOR\CALIDAD\2.- CERTIFICACIONES\CERTIFICACIONES SAMFOR\CERTIFICACIONES ACTUALES\CERTIFICADOS DE HERRAMIENTAS\ARNES Y CABO DE VIDA  SF-ARN-052.pdf</t>
  </si>
  <si>
    <t>C:\Users\Usuario\Mi unidad\SAMFOR\CALIDAD\2.- CERTIFICACIONES\CERTIFICACIONES SAMFOR\CERTIFICACIONES ACTUALES\CERTIFICADOS DE HERRAMIENTAS\ARNES Y CABO DE VIDA  SF-ARN-053.pdf</t>
  </si>
  <si>
    <t>C:\Users\Usuario\Mi unidad\SAMFOR\CALIDAD\2.- CERTIFICACIONES\CERTIFICACIONES SAMFOR\CERTIFICACIONES ACTUALES\CERTIFICADOS DE HERRAMIENTAS\ARNES Y CABO DE VIDA  SF-ARN-054.pdf</t>
  </si>
  <si>
    <t>C:\Users\Usuario\Mi unidad\SAMFOR\CALIDAD\2.- CERTIFICACIONES\CERTIFICACIONES SAMFOR\CERTIFICACIONES ACTUALES\CERTIFICADOS DE HERRAMIENTAS\ARNES Y CABO DE VIDA  SF-ARN-055.pdf</t>
  </si>
  <si>
    <t>C:\Users\Usuario\Mi unidad\SAMFOR\CALIDAD\2.- CERTIFICACIONES\CERTIFICACIONES SAMFOR\CERTIFICACIONES ACTUALES\CERTIFICADOS DE HERRAMIENTAS\ARNES Y CABO DE VIDA  SF-ARN-056.pdf</t>
  </si>
  <si>
    <t>C:\Users\Usuario\Mi unidad\SAMFOR\CALIDAD\2.- CERTIFICACIONES\CERTIFICACIONES SAMFOR\CERTIFICACIONES ACTUALES\CERTIFICADOS DE HERRAMIENTAS\ARNES Y CABO DE VIDA  SF-ARN-057.pdf</t>
  </si>
  <si>
    <t>C:\Users\Usuario\Mi unidad\SAMFOR\CALIDAD\2.- CERTIFICACIONES\CERTIFICACIONES SAMFOR\CERTIFICACIONES ACTUALES\CERTIFICADOS DE HERRAMIENTAS\ARNES Y CABO DE VIDA  SF-ARN-058.pdf</t>
  </si>
  <si>
    <t>C:\Users\Usuario\Mi unidad\SAMFOR\CALIDAD\2.- CERTIFICACIONES\CERTIFICACIONES SAMFOR\CERTIFICACIONES ACTUALES\CERTIFICADOS DE HERRAMIENTAS\ARNES Y CABO DE VIDA  SF-ARN-059.pdf</t>
  </si>
  <si>
    <t>SF-POL-012</t>
  </si>
  <si>
    <t>3 T</t>
  </si>
  <si>
    <t>SF-ARN-001</t>
  </si>
  <si>
    <t>SF-ARN-003/004</t>
  </si>
  <si>
    <t>SF-ARN-012/013/014/015/016/017/108</t>
  </si>
  <si>
    <t>SF-POL-013</t>
  </si>
  <si>
    <t>C:\Users\Usuario\Mi unidad\SAMFOR\CALIDAD\2.- CERTIFICACIONES\CERTIFICACIONES SAMFOR\CERTIFICACIONES ACTUALES\CERTIFICADOS DE EQUIPOS\GRÚA DE CADENA  SF-POL-012.pdf</t>
  </si>
  <si>
    <t>C:\Users\Usuario\Mi unidad\SAMFOR\CALIDAD\2.- CERTIFICACIONES\CERTIFICACIONES SAMFOR\CERTIFICACIONES ACTUALES\CERTIFICADOS DE EQUIPOS\GRÚA DE CADENA SF-POL-013.pdf</t>
  </si>
  <si>
    <t>CE1</t>
  </si>
  <si>
    <t>C3-1</t>
  </si>
  <si>
    <t>CE/G-2130</t>
  </si>
  <si>
    <t>TAMAÑO: 1 1/2"
CAPACIDAD:17T</t>
  </si>
  <si>
    <t>C:\Users\Usuario\Mi unidad\SAMFOR\CALIDAD\2.- CERTIFICACIONES\CERTIFICACIONES SAMFOR\CERTIFICACIONES ACTUALES\CERTIFICADOS DE HERRAMIENTAS\GRILLETES (1) # CE-1.pdf</t>
  </si>
  <si>
    <t>ADDITEL / ADR685-05-CP1K-PSI-N</t>
  </si>
  <si>
    <t>-15-1000 PSI</t>
  </si>
  <si>
    <t>MANOMETRO -15 A 1000 PSI</t>
  </si>
  <si>
    <t>C:\Users\Usuario\Mi unidad\SAMFOR\CALIDAD\2.- CERTIFICACIONES\CERTIFICACIONES SAMFOR\CERTIFICACIONES ACTUALES\CERTIFICADOS DE EQUIPOS\MANOMETRO DIGITAL 030250050090.PDF</t>
  </si>
  <si>
    <t>TALLER ELECTRICO</t>
  </si>
  <si>
    <t>Columna1</t>
  </si>
  <si>
    <t>C:\Users\Usuario\Mi unidad\SAMFOR\CALIDAD\2.- CERTIFICACIONES\CERTIFICACIONES SAMFOR\CERTIFICACIONES ACTUALES\CERTIFICADOS DE EQUIPOS\TORQUIMETRO DE 14 SF-T-01 353992301 PITTSBURGH PRO.PDF</t>
  </si>
  <si>
    <t>C:\Users\Usuario\Mi unidad\SAMFOR\CALIDAD\2.- CERTIFICACIONES\CERTIFICACIONES SAMFOR\CERTIFICACIONES ACTUALES\CERTIFICADOS DE EQUIPOS\TORQUIMETRO 34 6789.PDF</t>
  </si>
  <si>
    <t>Columna2</t>
  </si>
  <si>
    <t>INSTALACIONES_FISICAS</t>
  </si>
  <si>
    <t>AGUA</t>
  </si>
  <si>
    <t>AIRE COMPRIMIDO</t>
  </si>
  <si>
    <t>TURBOGENERADOR BG-1</t>
  </si>
  <si>
    <t>TURBOGENERADOR BG-2</t>
  </si>
  <si>
    <t>DEPOSITOS BG</t>
  </si>
  <si>
    <t>ELECTRICO</t>
  </si>
  <si>
    <t>Columna3</t>
  </si>
  <si>
    <t>COMBUSTIBLE DIESEL</t>
  </si>
  <si>
    <t>QR EXTINTOR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</si>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</sst>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0"/>
      <color theme="0"/>
      <name val="Calibri"/>
      <family val="2"/>
    </font>
    <font>
      <b/>
      <sz val="8"/>
      <color theme="0"/>
      <name val="Calibri"/>
      <family val="2"/>
    </font>
    <font>
      <sz val="11"/>
      <name val="Calibri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9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9D1515"/>
        <bgColor rgb="FF9D1515"/>
      </patternFill>
    </fill>
    <fill>
      <patternFill patternType="solid">
        <fgColor rgb="FF192D36"/>
        <bgColor rgb="FF192D36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rgb="FFE5B8B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rgb="FFE5B8B7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</borders>
  <cellStyleXfs count="3">
    <xf numFmtId="0" fontId="0" fillId="0" borderId="0"/>
    <xf numFmtId="0" fontId="31" fillId="0" borderId="0" applyNumberFormat="0" applyFill="0" applyBorder="0" applyAlignment="0" applyProtection="0"/>
    <xf numFmtId="0" fontId="1" fillId="0" borderId="1"/>
  </cellStyleXfs>
  <cellXfs count="154">
    <xf numFmtId="0" fontId="0" fillId="0" borderId="0" xfId="0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14" fontId="16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top"/>
    </xf>
    <xf numFmtId="0" fontId="22" fillId="4" borderId="2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14" fontId="24" fillId="0" borderId="4" xfId="0" applyNumberFormat="1" applyFont="1" applyBorder="1" applyAlignment="1">
      <alignment horizontal="center" vertical="center" wrapText="1"/>
    </xf>
    <xf numFmtId="14" fontId="23" fillId="0" borderId="4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 applyAlignment="1">
      <alignment horizontal="center"/>
    </xf>
    <xf numFmtId="0" fontId="30" fillId="0" borderId="0" xfId="0" applyFont="1"/>
    <xf numFmtId="0" fontId="31" fillId="0" borderId="0" xfId="1"/>
    <xf numFmtId="0" fontId="31" fillId="0" borderId="0" xfId="1" applyAlignment="1">
      <alignment wrapText="1"/>
    </xf>
    <xf numFmtId="14" fontId="23" fillId="0" borderId="0" xfId="0" applyNumberFormat="1" applyFont="1" applyAlignment="1">
      <alignment vertical="center"/>
    </xf>
    <xf numFmtId="0" fontId="13" fillId="0" borderId="0" xfId="0" applyFont="1"/>
    <xf numFmtId="0" fontId="28" fillId="0" borderId="0" xfId="0" applyFont="1"/>
    <xf numFmtId="0" fontId="31" fillId="0" borderId="0" xfId="1" applyBorder="1"/>
    <xf numFmtId="0" fontId="31" fillId="0" borderId="0" xfId="1" applyFill="1"/>
    <xf numFmtId="0" fontId="31" fillId="0" borderId="0" xfId="1" applyFill="1" applyAlignment="1">
      <alignment wrapText="1"/>
    </xf>
    <xf numFmtId="14" fontId="16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14" fillId="0" borderId="0" xfId="0" applyFont="1"/>
    <xf numFmtId="0" fontId="2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5" fillId="0" borderId="0" xfId="0" applyFont="1" applyBorder="1"/>
    <xf numFmtId="0" fontId="0" fillId="0" borderId="0" xfId="0" applyFill="1"/>
    <xf numFmtId="0" fontId="30" fillId="0" borderId="0" xfId="0" applyFont="1" applyFill="1"/>
    <xf numFmtId="0" fontId="27" fillId="0" borderId="0" xfId="0" applyFont="1" applyFill="1"/>
    <xf numFmtId="0" fontId="28" fillId="0" borderId="0" xfId="0" applyFont="1" applyFill="1" applyAlignment="1">
      <alignment horizontal="left"/>
    </xf>
    <xf numFmtId="0" fontId="7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24" fillId="8" borderId="0" xfId="0" applyFont="1" applyFill="1" applyAlignment="1">
      <alignment horizontal="center" vertical="center" wrapText="1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1" fillId="5" borderId="0" xfId="1" applyFill="1" applyBorder="1"/>
    <xf numFmtId="0" fontId="31" fillId="0" borderId="1" xfId="1" applyBorder="1"/>
    <xf numFmtId="0" fontId="27" fillId="0" borderId="0" xfId="0" applyFont="1" applyFill="1" applyBorder="1"/>
    <xf numFmtId="0" fontId="31" fillId="0" borderId="0" xfId="1" applyFill="1" applyBorder="1"/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Border="1"/>
    <xf numFmtId="0" fontId="15" fillId="0" borderId="0" xfId="0" applyFont="1" applyFill="1"/>
    <xf numFmtId="0" fontId="24" fillId="9" borderId="1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0" fontId="4" fillId="0" borderId="0" xfId="0" applyFont="1" applyFill="1" applyBorder="1"/>
    <xf numFmtId="0" fontId="24" fillId="9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1" xfId="0" applyFont="1" applyFill="1" applyBorder="1"/>
    <xf numFmtId="0" fontId="10" fillId="0" borderId="0" xfId="0" applyFont="1" applyFill="1"/>
    <xf numFmtId="0" fontId="8" fillId="0" borderId="0" xfId="0" applyFont="1" applyFill="1"/>
    <xf numFmtId="0" fontId="11" fillId="0" borderId="0" xfId="0" applyFont="1" applyFill="1"/>
    <xf numFmtId="0" fontId="8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/>
    <xf numFmtId="0" fontId="13" fillId="0" borderId="0" xfId="0" applyFont="1" applyFill="1"/>
    <xf numFmtId="0" fontId="9" fillId="0" borderId="0" xfId="0" applyFont="1" applyFill="1"/>
    <xf numFmtId="0" fontId="27" fillId="0" borderId="1" xfId="0" applyFont="1" applyFill="1" applyBorder="1"/>
    <xf numFmtId="0" fontId="31" fillId="0" borderId="0" xfId="1" applyFill="1" applyAlignment="1">
      <alignment horizontal="center"/>
    </xf>
    <xf numFmtId="0" fontId="24" fillId="0" borderId="0" xfId="0" applyFont="1" applyFill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4" fillId="8" borderId="1" xfId="0" applyFont="1" applyFill="1" applyBorder="1" applyAlignment="1">
      <alignment horizontal="center" vertical="center"/>
    </xf>
    <xf numFmtId="0" fontId="3" fillId="0" borderId="0" xfId="0" applyFont="1" applyFill="1"/>
    <xf numFmtId="0" fontId="23" fillId="9" borderId="15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/>
    </xf>
    <xf numFmtId="16" fontId="24" fillId="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 wrapText="1"/>
    </xf>
    <xf numFmtId="16" fontId="24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49" fontId="24" fillId="0" borderId="1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4" fontId="24" fillId="0" borderId="0" xfId="0" applyNumberFormat="1" applyFont="1" applyFill="1" applyAlignment="1">
      <alignment horizontal="center" vertical="center" wrapText="1"/>
    </xf>
    <xf numFmtId="14" fontId="23" fillId="0" borderId="0" xfId="0" applyNumberFormat="1" applyFont="1" applyFill="1" applyAlignment="1">
      <alignment horizontal="center" vertical="center"/>
    </xf>
    <xf numFmtId="0" fontId="24" fillId="0" borderId="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 wrapText="1"/>
    </xf>
    <xf numFmtId="0" fontId="15" fillId="0" borderId="0" xfId="0" applyFont="1" applyFill="1" applyBorder="1"/>
    <xf numFmtId="0" fontId="21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2" fillId="0" borderId="0" xfId="0" applyFont="1" applyFill="1" applyBorder="1"/>
    <xf numFmtId="0" fontId="17" fillId="0" borderId="0" xfId="0" applyFont="1" applyFill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24" fillId="0" borderId="4" xfId="0" applyFont="1" applyFill="1" applyBorder="1" applyAlignment="1">
      <alignment horizontal="center" vertical="center" wrapText="1"/>
    </xf>
    <xf numFmtId="0" fontId="24" fillId="0" borderId="1" xfId="0" quotePrefix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24" fillId="8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0" fontId="15" fillId="9" borderId="0" xfId="0" applyFont="1" applyFill="1"/>
    <xf numFmtId="0" fontId="0" fillId="9" borderId="0" xfId="0" applyFill="1"/>
    <xf numFmtId="0" fontId="28" fillId="0" borderId="0" xfId="0" applyFont="1" applyFill="1" applyAlignment="1">
      <alignment horizontal="center" wrapText="1"/>
    </xf>
    <xf numFmtId="0" fontId="17" fillId="0" borderId="0" xfId="0" applyFont="1" applyFill="1"/>
    <xf numFmtId="0" fontId="16" fillId="0" borderId="0" xfId="0" applyFont="1" applyFill="1"/>
    <xf numFmtId="0" fontId="16" fillId="0" borderId="0" xfId="0" applyFont="1" applyFill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20" fillId="0" borderId="8" xfId="0" applyFont="1" applyBorder="1"/>
    <xf numFmtId="0" fontId="20" fillId="0" borderId="9" xfId="0" applyFont="1" applyBorder="1"/>
  </cellXfs>
  <cellStyles count="3">
    <cellStyle name="Hyperlink" xfId="1" builtinId="8"/>
    <cellStyle name="Normal" xfId="0" builtinId="0"/>
    <cellStyle name="Normal 20" xfId="2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color rgb="FF9C0006"/>
      </font>
      <fill>
        <patternFill>
          <bgColor rgb="FFFFC7CE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REGISTRO-style" pivot="0" count="3">
      <tableStyleElement type="headerRow" dxfId="21"/>
      <tableStyleElement type="firstRowStripe" dxfId="20"/>
      <tableStyleElement type="second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3057524</xdr:colOff>
      <xdr:row>0</xdr:row>
      <xdr:rowOff>28575</xdr:rowOff>
    </xdr:from>
    <xdr:ext cx="3868511" cy="4381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670095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775607</xdr:colOff>
      <xdr:row>0</xdr:row>
      <xdr:rowOff>96610</xdr:rowOff>
    </xdr:from>
    <xdr:ext cx="1885950" cy="361950"/>
    <xdr:pic>
      <xdr:nvPicPr>
        <xdr:cNvPr id="2" name="image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5607" y="96610"/>
          <a:ext cx="1885950" cy="361950"/>
        </a:xfrm>
        <a:prstGeom prst="rect">
          <a:avLst/>
        </a:prstGeom>
        <a:noFill/>
      </xdr:spPr>
    </xdr:pic>
    <xdr:clientData fLocksWithSheet="0"/>
  </xdr:oneCellAnchor>
  <xdr:twoCellAnchor>
    <xdr:from>
      <xdr:col>18</xdr:col>
      <xdr:colOff>30163</xdr:colOff>
      <xdr:row>150</xdr:row>
      <xdr:rowOff>76200</xdr:rowOff>
    </xdr:from>
    <xdr:to>
      <xdr:col>18</xdr:col>
      <xdr:colOff>1350963</xdr:colOff>
      <xdr:row>150</xdr:row>
      <xdr:rowOff>1397000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1524000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155</xdr:row>
      <xdr:rowOff>76200</xdr:rowOff>
    </xdr:from>
    <xdr:to>
      <xdr:col>18</xdr:col>
      <xdr:colOff>1350963</xdr:colOff>
      <xdr:row>155</xdr:row>
      <xdr:rowOff>1397000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4095750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163</xdr:row>
      <xdr:rowOff>76200</xdr:rowOff>
    </xdr:from>
    <xdr:to>
      <xdr:col>18</xdr:col>
      <xdr:colOff>1350963</xdr:colOff>
      <xdr:row>163</xdr:row>
      <xdr:rowOff>1397000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7115175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166</xdr:row>
      <xdr:rowOff>76200</xdr:rowOff>
    </xdr:from>
    <xdr:to>
      <xdr:col>18</xdr:col>
      <xdr:colOff>1350963</xdr:colOff>
      <xdr:row>166</xdr:row>
      <xdr:rowOff>1397000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8905875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168</xdr:row>
      <xdr:rowOff>76200</xdr:rowOff>
    </xdr:from>
    <xdr:to>
      <xdr:col>18</xdr:col>
      <xdr:colOff>1350963</xdr:colOff>
      <xdr:row>168</xdr:row>
      <xdr:rowOff>1397000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10534650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170</xdr:row>
      <xdr:rowOff>76200</xdr:rowOff>
    </xdr:from>
    <xdr:to>
      <xdr:col>18</xdr:col>
      <xdr:colOff>1350963</xdr:colOff>
      <xdr:row>170</xdr:row>
      <xdr:rowOff>1397000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12477750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173</xdr:row>
      <xdr:rowOff>76200</xdr:rowOff>
    </xdr:from>
    <xdr:to>
      <xdr:col>18</xdr:col>
      <xdr:colOff>1350963</xdr:colOff>
      <xdr:row>173</xdr:row>
      <xdr:rowOff>1397000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14268450"/>
          <a:ext cx="1320800" cy="1320800"/>
        </a:xfrm>
        <a:prstGeom prst="rect">
          <a:avLst/>
        </a:prstGeom>
      </xdr:spPr>
    </xdr:pic>
    <xdr:clientData/>
  </xdr:twoCellAnchor>
  <xdr:twoCellAnchor>
    <xdr:from>
      <xdr:col>18</xdr:col>
      <xdr:colOff>30163</xdr:colOff>
      <xdr:row>178</xdr:row>
      <xdr:rowOff>76200</xdr:rowOff>
    </xdr:from>
    <xdr:to>
      <xdr:col>18</xdr:col>
      <xdr:colOff>1350963</xdr:colOff>
      <xdr:row>178</xdr:row>
      <xdr:rowOff>1397000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8388" y="16954500"/>
          <a:ext cx="1320800" cy="1320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3057524</xdr:colOff>
      <xdr:row>0</xdr:row>
      <xdr:rowOff>28575</xdr:rowOff>
    </xdr:from>
    <xdr:ext cx="3868511" cy="4381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xmlns="" id="{450696C2-33AD-4C3F-A4A1-08D56EC98600}"/>
            </a:ext>
          </a:extLst>
        </xdr:cNvPr>
        <xdr:cNvSpPr/>
      </xdr:nvSpPr>
      <xdr:spPr>
        <a:xfrm>
          <a:off x="8524874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775607</xdr:colOff>
      <xdr:row>0</xdr:row>
      <xdr:rowOff>96610</xdr:rowOff>
    </xdr:from>
    <xdr:ext cx="1885950" cy="361950"/>
    <xdr:pic>
      <xdr:nvPicPr>
        <xdr:cNvPr id="3" name="image1.png">
          <a:extLst>
            <a:ext uri="{FF2B5EF4-FFF2-40B4-BE49-F238E27FC236}">
              <a16:creationId xmlns:a16="http://schemas.microsoft.com/office/drawing/2014/main" xmlns="" id="{F74491A5-59EA-47C2-9759-FF2A43F46C3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2957" y="96610"/>
          <a:ext cx="1885950" cy="36195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A6:S368">
  <autoFilter ref="A6:S368">
    <filterColumn colId="2">
      <filters>
        <filter val="EXTINTORES"/>
      </filters>
    </filterColumn>
    <filterColumn colId="5">
      <filters>
        <filter val="EXTINTOR"/>
      </filters>
    </filterColumn>
  </autoFilter>
  <tableColumns count="19">
    <tableColumn id="1" name="ÍTEM"/>
    <tableColumn id="16" name="Columna1" dataDxfId="11"/>
    <tableColumn id="2" name="CLASIFICACIÓN DE CERTIFICADOS"/>
    <tableColumn id="3" name="DISCIPLINA"/>
    <tableColumn id="4" name="CÓDIGO INTERNO" dataDxfId="10"/>
    <tableColumn id="5" name="NOMBRE DEL EQUIPO" dataDxfId="9"/>
    <tableColumn id="6" name="SERIAL"/>
    <tableColumn id="7" name="MARCA / MODELO"/>
    <tableColumn id="8" name="RANGO/ CAPACIDAD" dataDxfId="8"/>
    <tableColumn id="9" name="UBICACIÓN" dataDxfId="7"/>
    <tableColumn id="17" name="Columna2" dataDxfId="6"/>
    <tableColumn id="18" name="Columna3" dataDxfId="5"/>
    <tableColumn id="10" name="FRECUENCIA DE CERTIFICACIÓN"/>
    <tableColumn id="11" name="AGENTE CERTIFICADOR"/>
    <tableColumn id="12" name="ÚLTIMA FECHA DE CERTIFICACIÓN"/>
    <tableColumn id="13" name="PROXIMA FECHA PARA CERTIFICAR"/>
    <tableColumn id="14" name="ALARMA">
      <calculatedColumnFormula array="1">IFERROR(_xlfn.IFS($H$2&gt;=Table_1[[#This Row],[PROXIMA FECHA PARA CERTIFICAR]], "VENCIDO", Table_1[[#This Row],[PROXIMA FECHA PARA CERTIFICAR]]-$H$2&lt;=44, "POR VENCER",Table_1[[#This Row],[PROXIMA FECHA PARA CERTIFICAR]]-$H$2&gt;41, "DISPONIBLE"),"")</calculatedColumnFormula>
    </tableColumn>
    <tableColumn id="15" name="OBSERVACIONES"/>
    <tableColumn id="19" name="QR EXTINTOR" dataDxfId="0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id="2" name="Table_13" displayName="Table_13" ref="A6:K302">
  <autoFilter ref="A6:K302"/>
  <sortState ref="A7:K302">
    <sortCondition ref="A6:A302"/>
  </sortState>
  <tableColumns count="11">
    <tableColumn id="1" name="ÍTEM"/>
    <tableColumn id="3" name="DISCIPLINA"/>
    <tableColumn id="4" name="CÓDIGO INTERNO" dataDxfId="3"/>
    <tableColumn id="5" name="NOMBRE DEL EQUIPO" dataDxfId="2"/>
    <tableColumn id="6" name="SERIAL"/>
    <tableColumn id="7" name="MARCA / MODELO"/>
    <tableColumn id="8" name="RANGO/ CAPACIDAD"/>
    <tableColumn id="9" name="UBICACIÓN"/>
    <tableColumn id="12" name="FECHA DE FABRICACIÓN"/>
    <tableColumn id="13" name="FECHA DE VIDA UTIL"/>
    <tableColumn id="15" name="OBSERVACIONES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\CERTIFICACIONES%20SAMFOR\CERTIFICACIONES%20ACTUALES\CERTIFICADOS%20DE%20HERRAMIENTAS\ESLINGA%20SINTETICA%20SF-ESL-044%20SAMFOR%20.pdf" TargetMode="External"/><Relationship Id="rId299" Type="http://schemas.openxmlformats.org/officeDocument/2006/relationships/hyperlink" Target="../CERTIFICACIONES%20SAMFOR/CERTIFICACIONES%20ACTUALES/CERTIFICADOS%20DE%20HERRAMIENTAS/ARNES%20Y%20CABO%20DE%20VIDA%20%20SF-ARN-053.pdf" TargetMode="External"/><Relationship Id="rId21" Type="http://schemas.openxmlformats.org/officeDocument/2006/relationships/hyperlink" Target="..\CERTIFICACIONES%20SAMFOR\CERTIFICACIONES%20ACTUALES\CERTIFICADOS%20DE%20EQUIPOS\MULTIMETRO%2062210118.PDF" TargetMode="External"/><Relationship Id="rId63" Type="http://schemas.openxmlformats.org/officeDocument/2006/relationships/hyperlink" Target="..\CERTIFICACIONES%20SAMFOR\CERTIFICACIONES%20ACTUALES\CERTIFICADOS%20DE%20HERRAMIENTAS\APARAEJOS%20DE%20IZAMIENTO%20(CANCAMOS).pdf" TargetMode="External"/><Relationship Id="rId159" Type="http://schemas.openxmlformats.org/officeDocument/2006/relationships/hyperlink" Target="..\CERTIFICACIONES%20SAMFOR\CERTIFICACIONES%20ACTUALES\CERTIFICADOS%20EXTINTORES\EXTINTOR%20PTBG-007.pdf" TargetMode="External"/><Relationship Id="rId324" Type="http://schemas.openxmlformats.org/officeDocument/2006/relationships/printerSettings" Target="../printerSettings/printerSettings1.bin"/><Relationship Id="rId170" Type="http://schemas.openxmlformats.org/officeDocument/2006/relationships/hyperlink" Target="..\CERTIFICACIONES%20SAMFOR\CERTIFICACIONES%20ACTUALES\CERTIFICADOS%20EXTINTORES\EXTINTOR%20PTBG-018.pdf" TargetMode="External"/><Relationship Id="rId226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268" Type="http://schemas.openxmlformats.org/officeDocument/2006/relationships/hyperlink" Target="..\CERTIFICACIONES%20SAMFOR\CERTIFICACIONES%20ACTUALES\CERTIFICADOS%20DE%20EQUIPOS\TORQUIMETRO%201-2%20L5%205240301935.pdf" TargetMode="External"/><Relationship Id="rId32" Type="http://schemas.openxmlformats.org/officeDocument/2006/relationships/hyperlink" Target="..\CERTIFICACIONES%20SAMFOR\CERTIFICACIONES%20ACTUALES\CERTIFICADOS%20DE%20EQUIPOS\ROTAMETRO%20D12301797.pdf" TargetMode="External"/><Relationship Id="rId74" Type="http://schemas.openxmlformats.org/officeDocument/2006/relationships/hyperlink" Target="..\CERTIFICACIONES%20SAMFOR\CERTIFICACIONES%20ACTUALES\CERTIFICADOS%20DE%20HERRAMIENTAS\ESLINGA%20SINTETICA%20AMARRE%204%20x%208m%20(10)_(SF-ESL-53%20al%2062).pdf" TargetMode="External"/><Relationship Id="rId128" Type="http://schemas.openxmlformats.org/officeDocument/2006/relationships/hyperlink" Target="..\CERTIFICACIONES%20SAMFOR\CERTIFICACIONES%20ACTUALES\CERTIFICADOS%20DE%20EQUIPOS\CABLE%20PUESTA%20A%20TIERRA%20TEMPORARIA%2061138.pdf" TargetMode="External"/><Relationship Id="rId5" Type="http://schemas.openxmlformats.org/officeDocument/2006/relationships/hyperlink" Target="..\CERTIFICACIONES%20SAMFOR\CERTIFICACIONES%20ACTUALES\CERTIFICADOS%20DE%20EQUIPOS\MANOMETRO%20B09JDP6K1.PDF" TargetMode="External"/><Relationship Id="rId181" Type="http://schemas.openxmlformats.org/officeDocument/2006/relationships/hyperlink" Target="..\CERTIFICACIONES%20SAMFOR\CERTIFICACIONES%20ACTUALES\CERTIFICADOS%20EXTINTORES\EXTINTOR%20PTBG-029.pdf" TargetMode="External"/><Relationship Id="rId237" Type="http://schemas.openxmlformats.org/officeDocument/2006/relationships/hyperlink" Target="../CERTIFICACIONES%20SAMFOR/CERTIFICACIONES%20ACTUALES/CERTIFICADOS%20DE%20HERRAMIENTAS/GRILLETES%203-4%20INCH%204%20UNIDADES.pdf" TargetMode="External"/><Relationship Id="rId279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43" Type="http://schemas.openxmlformats.org/officeDocument/2006/relationships/hyperlink" Target="..\CERTIFICACIONES%20SAMFOR\CERTIFICACIONES%20ACTUALES\CERTIFICADOS%20EXTINTORES\Certificado%20de%20C02%20BG-1.pdf" TargetMode="External"/><Relationship Id="rId139" Type="http://schemas.openxmlformats.org/officeDocument/2006/relationships/hyperlink" Target="..\CERTIFICACIONES%20SAMFOR\CERTIFICACIONES%20ACTUALES\CERTIFICADOS%20DE%20EQUIPOS\GUANTES%20%20DIELECTRICO,%20CLASE%20O%20TIPO%20I%204122176%20.pdf" TargetMode="External"/><Relationship Id="rId290" Type="http://schemas.openxmlformats.org/officeDocument/2006/relationships/hyperlink" Target="../CERTIFICACIONES%20SAMFOR/CERTIFICACIONES%20ACTUALES/CERTIFICADOS%20DE%20EQUIPOS/DETECTOR%20MULTIGAS%20SF-MED-056.pdf" TargetMode="External"/><Relationship Id="rId304" Type="http://schemas.openxmlformats.org/officeDocument/2006/relationships/hyperlink" Target="../CERTIFICACIONES%20SAMFOR/CERTIFICACIONES%20ACTUALES/CERTIFICADOS%20DE%20HERRAMIENTAS/ARNES%20Y%20CABO%20DE%20VIDA%20%20SF-ARN-058.pdf" TargetMode="External"/><Relationship Id="rId85" Type="http://schemas.openxmlformats.org/officeDocument/2006/relationships/hyperlink" Target="..\CERTIFICACIONES%20SAMFOR\CERTIFICACIONES%20ACTUALES\CERTIFICADOS%20DE%20MAQUINARIA%20PESADA\GR&#218;A%20PUENTE%20HLW24648%20PETROBOSCAN.pdf" TargetMode="External"/><Relationship Id="rId150" Type="http://schemas.openxmlformats.org/officeDocument/2006/relationships/hyperlink" Target="..\CERTIFICACIONES%20SAMFOR\CERTIFICACIONES%20ACTUALES\CERTIFICADOS%20DE%20HERRAMIENTAS\ARNES%20Y%20CABO%20DE%20VIDA%20021.pdf" TargetMode="External"/><Relationship Id="rId192" Type="http://schemas.openxmlformats.org/officeDocument/2006/relationships/hyperlink" Target="../CERTIFICACIONES%20SAMFOR/CERTIFICACIONES%20ACTUALES/CERTIFICADOS%20DE%20HERRAMIENTAS/ARNES%20Y%20CABO%20DE%20VIDA%20030.pdf" TargetMode="External"/><Relationship Id="rId206" Type="http://schemas.openxmlformats.org/officeDocument/2006/relationships/hyperlink" Target="..\CERTIFICACIONES%20SAMFOR\CERTIFICACIONES%20ACTUALES\CERTIFICADOS%20DE%20EQUIPOS\PINZA%20AMPERIMETRICA%2066700001.PDF" TargetMode="External"/><Relationship Id="rId248" Type="http://schemas.openxmlformats.org/officeDocument/2006/relationships/hyperlink" Target="..\CERTIFICACIONES%20SAMFOR\CERTIFICACIONES%20ACTUALES\CERTIFICADOS%20DE%20HERRAMIENTAS\SF-742%20CERTIFICADO%20COMPUERTA.pdf" TargetMode="External"/><Relationship Id="rId12" Type="http://schemas.openxmlformats.org/officeDocument/2006/relationships/hyperlink" Target="..\CERTIFICACIONES%20SAMFOR\CERTIFICACIONES%20ACTUALES\CERTIFICADOS%20DE%20EQUIPOS\DETECTOR%20MULTIGAS%20N20230820382.PDF" TargetMode="External"/><Relationship Id="rId108" Type="http://schemas.openxmlformats.org/officeDocument/2006/relationships/hyperlink" Target="..\CERTIFICACIONES%20SAMFOR\CERTIFICACIONES%20ACTUALES\CERTIFICADOS%20DE%20EQUIPOS\MAQUINA%20DE%20SOLDAR%20ELECTRICA%2012F88673622100391480018.pdf" TargetMode="External"/><Relationship Id="rId315" Type="http://schemas.openxmlformats.org/officeDocument/2006/relationships/hyperlink" Target="../CERTIFICACIONES%20SAMFOR/CERTIFICACIONES%20ACTUALES/CERTIFICADOS%20DE%20EQUIPOS/TORQUIMETRO%20DE%2038%20SF-T-02%20EPANLO.PDF" TargetMode="External"/><Relationship Id="rId54" Type="http://schemas.openxmlformats.org/officeDocument/2006/relationships/hyperlink" Target="..\CERTIFICACIONES%20SAMFOR\CERTIFICACIONES%20ACTUALES\CERTIFICADOS%20EXTINTORES\Bombonas%20CO2%20Bg2.pdf" TargetMode="External"/><Relationship Id="rId96" Type="http://schemas.openxmlformats.org/officeDocument/2006/relationships/hyperlink" Target="..\CERTIFICACIONES%20SAMFOR\CERTIFICACIONES%20ACTUALES\CERTIFICADOS%20DE%20EQUIPOS\GRUA%20MANUAL%20SF-POL-001%20.pdf" TargetMode="External"/><Relationship Id="rId161" Type="http://schemas.openxmlformats.org/officeDocument/2006/relationships/hyperlink" Target="..\CERTIFICACIONES%20SAMFOR\CERTIFICACIONES%20ACTUALES\CERTIFICADOS%20EXTINTORES\EXTINTOR%20PTBG-009.pdf" TargetMode="External"/><Relationship Id="rId217" Type="http://schemas.openxmlformats.org/officeDocument/2006/relationships/hyperlink" Target="..\CERTIFICACIONES%20SAMFOR\CERTIFICACIONES%20ACTUALES\CERTIFICADOS%20DE%20HERRAMIENTAS\ESLINGA%20SINT&#201;TICA%20SF-ESL-081.pdf" TargetMode="External"/><Relationship Id="rId259" Type="http://schemas.openxmlformats.org/officeDocument/2006/relationships/hyperlink" Target="..\CERTIFICACIONES%20SAMFOR\CERTIFICACIONES%20ACTUALES\CERTIFICADOS%20DE%20MAQUINARIA%20PESADA\QUINTA%20RUEDA%20C06004862T%20SVP163%20.pdf" TargetMode="External"/><Relationship Id="rId23" Type="http://schemas.openxmlformats.org/officeDocument/2006/relationships/hyperlink" Target="..\CERTIFICACIONES%20SAMFOR\CERTIFICACIONES%20ACTUALES\CERTIFICADOS%20DE%20EQUIPOS\MULTIMETRO%2034420225WS.PDF" TargetMode="External"/><Relationship Id="rId119" Type="http://schemas.openxmlformats.org/officeDocument/2006/relationships/hyperlink" Target="..\CERTIFICACIONES%20SAMFOR\CERTIFICACIONES%20ACTUALES\CERTIFICADOS%20DE%20HERRAMIENTAS\ESLINGA%20482438.pdf" TargetMode="External"/><Relationship Id="rId270" Type="http://schemas.openxmlformats.org/officeDocument/2006/relationships/hyperlink" Target="..\CERTIFICACIONES%20SAMFOR\CERTIFICACIONES%20ACTUALES\CERTIFICADOS%20DE%20EQUIPOS\TORQUIMETRO%203-8%20K5%205140200155.pdf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30" Type="http://schemas.openxmlformats.org/officeDocument/2006/relationships/hyperlink" Target="..\CERTIFICACIONES%20SAMFOR\CERTIFICACIONES%20ACTUALES\CERTIFICADOS%20DE%20EQUIPOS\GUANTES%20DIELECTRICOS%203102632.pdf" TargetMode="External"/><Relationship Id="rId172" Type="http://schemas.openxmlformats.org/officeDocument/2006/relationships/hyperlink" Target="..\CERTIFICACIONES%20SAMFOR\CERTIFICACIONES%20ACTUALES\CERTIFICADOS%20EXTINTORES\EXTINTOR%20PTBG-020.pdf" TargetMode="External"/><Relationship Id="rId228" Type="http://schemas.openxmlformats.org/officeDocument/2006/relationships/hyperlink" Target="..\CERTIFICACIONES%20SAMFOR\CERTIFICACIONES%20ACTUALES\CERTIFICADOS%20DE%20HERRAMIENTAS\ESLINGA%20DE%20ACERO%20SF-ESLA-002AB.pdf" TargetMode="External"/><Relationship Id="rId281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34" Type="http://schemas.openxmlformats.org/officeDocument/2006/relationships/hyperlink" Target="..\CERTIFICACIONES%20SAMFOR\CERTIFICACIONES%20ACTUALES\CERTIFICADOS%20DE%20EQUIPOS\SONOMETRO%201100778043.PDF" TargetMode="External"/><Relationship Id="rId76" Type="http://schemas.openxmlformats.org/officeDocument/2006/relationships/hyperlink" Target="..\CERTIFICACIONES%20SAMFOR\CERTIFICACIONES%20ACTUALES\CERTIFICADOS%20DE%20HERRAMIENTAS\GRILLETES%20&#8542;%20x%206&#189;t%20(5)_(5NX-DCH-1,2,3,4)_10-2025.pdf" TargetMode="External"/><Relationship Id="rId141" Type="http://schemas.openxmlformats.org/officeDocument/2006/relationships/hyperlink" Target="..\CERTIFICACIONES%20SAMFOR\CERTIFICACIONES%20ACTUALES\CERTIFICADOS%20DE%20EQUIPOS\GUANTES%20%20DIELECTRICO,%20CLASE%20O%20TIPO%20I%204096511.pdf" TargetMode="External"/><Relationship Id="rId7" Type="http://schemas.openxmlformats.org/officeDocument/2006/relationships/hyperlink" Target="..\CERTIFICACIONES%20SAMFOR\CERTIFICACIONES%20ACTUALES\CERTIFICADOS%20DE%20EQUIPOS\COMPARADOR%20DE%20CUADRANTE%20CA25SLBF84.pdf" TargetMode="External"/><Relationship Id="rId162" Type="http://schemas.openxmlformats.org/officeDocument/2006/relationships/hyperlink" Target="..\CERTIFICACIONES%20SAMFOR\CERTIFICACIONES%20ACTUALES\CERTIFICADOS%20EXTINTORES\EXTINTOR%20PTBG-010.pdf" TargetMode="External"/><Relationship Id="rId183" Type="http://schemas.openxmlformats.org/officeDocument/2006/relationships/hyperlink" Target="..\CERTIFICACIONES%20SAMFOR\CERTIFICACIONES%20ACTUALES\CERTIFICADOS%20EXTINTORES\EXTINTOR%20PTBG-031.pdf" TargetMode="External"/><Relationship Id="rId218" Type="http://schemas.openxmlformats.org/officeDocument/2006/relationships/hyperlink" Target="..\CERTIFICACIONES%20SAMFOR\CERTIFICACIONES%20ACTUALES\CERTIFICADOS%20DE%20HERRAMIENTAS\25324%20ESLINGA%20MODELO%2011%20DE%2025.40%20MM%201_X%20300%20MTS%20DE%20CABLE%20DE%20ACERO%20AM%20AA%20ARD%20180%20050400055A.pdf" TargetMode="External"/><Relationship Id="rId239" Type="http://schemas.openxmlformats.org/officeDocument/2006/relationships/hyperlink" Target="..\CERTIFICACIONES%20SAMFOR\CERTIFICACIONES%20ACTUALES\CERTIFICADOS%20DE%20HERRAMIENTAS\GRILLETES%205-8%20INCH%204%20UNIDADES.pdf" TargetMode="External"/><Relationship Id="rId250" Type="http://schemas.openxmlformats.org/officeDocument/2006/relationships/hyperlink" Target="..\CERTIFICACIONES%20SAMFOR\CERTIFICACIONES%20ACTUALES\CERTIFICADOS%20DE%20HERRAMIENTAS\SF-745%20CERTIFICADO%20BOLA.pdf" TargetMode="External"/><Relationship Id="rId271" Type="http://schemas.openxmlformats.org/officeDocument/2006/relationships/hyperlink" Target="..\CERTIFICACIONES%20SAMFOR\CERTIFICACIONES%20ACTUALES\CERTIFICADOS%20DE%20HERRAMIENTAS\CABO%20DE%20VIDA%201M%20SF-ARN-031-040.pdf" TargetMode="External"/><Relationship Id="rId292" Type="http://schemas.openxmlformats.org/officeDocument/2006/relationships/hyperlink" Target="../CERTIFICACIONES%20SAMFOR/CERTIFICACIONES%20ACTUALES/CERTIFICADOS%20DE%20HERRAMIENTAS/GRILLETES%20(2)%20V41%20V42.pdf" TargetMode="External"/><Relationship Id="rId306" Type="http://schemas.openxmlformats.org/officeDocument/2006/relationships/hyperlink" Target="..\CERTIFICACIONES%20SAMFOR\CERTIFICACIONES%20ACTUALES\CERTIFICADOS%20DE%20EQUIPOS\GR&#218;A%20DE%20CADENA%20%20SF-POL-012.pdf" TargetMode="External"/><Relationship Id="rId24" Type="http://schemas.openxmlformats.org/officeDocument/2006/relationships/hyperlink" Target="..\CERTIFICACIONES%20SAMFOR\CERTIFICACIONES%20ACTUALES\CERTIFICADOS%20DE%20EQUIPOS\MULTIMETRO%200003366-%20E2011687%20.PDF" TargetMode="External"/><Relationship Id="rId45" Type="http://schemas.openxmlformats.org/officeDocument/2006/relationships/hyperlink" Target="..\CERTIFICACIONES%20SAMFOR\CERTIFICACIONES%20ACTUALES\CERTIFICADOS%20EXTINTORES\Certificado%20de%20C02%20BG-1.pdf" TargetMode="External"/><Relationship Id="rId66" Type="http://schemas.openxmlformats.org/officeDocument/2006/relationships/hyperlink" Target="..\CERTIFICACIONES%20SAMFOR\CERTIFICACIONES%20ACTUALES\CERTIFICADOS%20DE%20HERRAMIENTAS\ARNES%20SFAR001.PDF" TargetMode="External"/><Relationship Id="rId87" Type="http://schemas.openxmlformats.org/officeDocument/2006/relationships/hyperlink" Target="..\CERTIFICACIONES%20SAMFOR\CERTIFICACIONES%20ACTUALES\CERTIFICADOS%20DE%20MAQUINARIA%20PESADA\MANLIFT%20ELEVADOR%20DE%20PERSONAL%20021014-0300022330.pdf" TargetMode="External"/><Relationship Id="rId110" Type="http://schemas.openxmlformats.org/officeDocument/2006/relationships/hyperlink" Target="..\CERTIFICACIONES%20SAMFOR\CERTIFICACIONES%20ACTUALES\CERTIFICADOS%20DE%20HERRAMIENTAS\ESLINGA%20SINT&#201;TICA%20SF-ESL-079.PDF" TargetMode="External"/><Relationship Id="rId131" Type="http://schemas.openxmlformats.org/officeDocument/2006/relationships/hyperlink" Target="..\CERTIFICACIONES%20SAMFOR\CERTIFICACIONES%20ACTUALES\CERTIFICADOS%20DE%20EQUIPOS\GUANTES%20DIELECTRICOS%204588835-4593382.pdf" TargetMode="External"/><Relationship Id="rId327" Type="http://schemas.openxmlformats.org/officeDocument/2006/relationships/table" Target="../tables/table1.xml"/><Relationship Id="rId152" Type="http://schemas.openxmlformats.org/officeDocument/2006/relationships/hyperlink" Target="..\CERTIFICACIONES%20SAMFOR\CERTIFICACIONES%20ACTUALES\CERTIFICADOS%20DE%20HERRAMIENTAS\ARNES%20Y%20CABO%20DE%20VIDA%20020-022.pdf" TargetMode="External"/><Relationship Id="rId173" Type="http://schemas.openxmlformats.org/officeDocument/2006/relationships/hyperlink" Target="..\CERTIFICACIONES%20SAMFOR\CERTIFICACIONES%20ACTUALES\CERTIFICADOS%20EXTINTORES\EXTINTOR%20PTBG-021.pdf" TargetMode="External"/><Relationship Id="rId194" Type="http://schemas.openxmlformats.org/officeDocument/2006/relationships/hyperlink" Target="..\CERTIFICACIONES%20SAMFOR\CERTIFICACIONES%20ACTUALES\CERTIFICADOS%20DE%20EQUIPOS\BOMBA.HIDRAULICA%206920.pdf" TargetMode="External"/><Relationship Id="rId208" Type="http://schemas.openxmlformats.org/officeDocument/2006/relationships/hyperlink" Target="..\CERTIFICACIONES%20SAMFOR\CERTIFICACIONES%20ACTUALES\CERTIFICADOS%20DE%20EQUIPOS\PINZA%20AMPERIMETRICA%2064083149WS%20UCS-E-0081-25.pdf" TargetMode="External"/><Relationship Id="rId229" Type="http://schemas.openxmlformats.org/officeDocument/2006/relationships/hyperlink" Target="..\CERTIFICACIONES%20SAMFOR\CERTIFICACIONES%20ACTUALES\CERTIFICADOS%20DE%20HERRAMIENTAS\ESLINGA%20DE%20ACERO%20SF-ESLA-004.pdf" TargetMode="External"/><Relationship Id="rId240" Type="http://schemas.openxmlformats.org/officeDocument/2006/relationships/hyperlink" Target="..\CERTIFICACIONES%20SAMFOR\CERTIFICACIONES%20ACTUALES\CERTIFICADOS%20DE%20HERRAMIENTAS\GRILLETES%205-8%20INCH%204%20UNIDADES%20.pdf" TargetMode="External"/><Relationship Id="rId261" Type="http://schemas.openxmlformats.org/officeDocument/2006/relationships/hyperlink" Target="..\CERTIFICACIONES%20SAMFOR\CERTIFICACIONES%20ACTUALES\CERTIFICADOS%20DE%20EQUIPOS\MAQUINA%20DE%20SOLDAR%20%20A-1008401.pdf" TargetMode="External"/><Relationship Id="rId14" Type="http://schemas.openxmlformats.org/officeDocument/2006/relationships/hyperlink" Target="..\CERTIFICACIONES%20SAMFOR\CERTIFICACIONES%20ACTUALES\CERTIFICADOS%20DE%20EQUIPOS\DTX-1855616.pdf" TargetMode="External"/><Relationship Id="rId35" Type="http://schemas.openxmlformats.org/officeDocument/2006/relationships/hyperlink" Target="..\CERTIFICACIONES%20SAMFOR\CERTIFICACIONES%20ACTUALES\CERTIFICADOS%20EXTINTORES\Certificado%20de%20C02%20BG-1.pdf" TargetMode="External"/><Relationship Id="rId56" Type="http://schemas.openxmlformats.org/officeDocument/2006/relationships/hyperlink" Target="..\CERTIFICACIONES%20SAMFOR\CERTIFICACIONES%20ACTUALES\CERTIFICADOS%20EXTINTORES\Bombonas%20CO2%20Bg2.pdf" TargetMode="External"/><Relationship Id="rId77" Type="http://schemas.openxmlformats.org/officeDocument/2006/relationships/hyperlink" Target="..\CERTIFICACIONES%20SAMFOR\CERTIFICACIONES%20ACTUALES\CERTIFICADOS%20DE%20HERRAMIENTAS\GRILLETES%201&#189;%20x%2017t%20(6)_(DW1-1,2-%20DT7-1,2,3,4)_10-2025.pdf" TargetMode="External"/><Relationship Id="rId100" Type="http://schemas.openxmlformats.org/officeDocument/2006/relationships/hyperlink" Target="..\CERTIFICACIONES%20SAMFOR\CERTIFICACIONES%20ACTUALES\CERTIFICADOS%20DE%20HERRAMIENTAS\ESLINGA%20DE%20IZAMIENTO%20SF-ESL-077%20472553.pdf" TargetMode="External"/><Relationship Id="rId282" Type="http://schemas.openxmlformats.org/officeDocument/2006/relationships/hyperlink" Target="..\CERTIFICACIONES%20SAMFOR\CERTIFICACIONES%20ACTUALES\CERTIFICADOS%20DE%20MAQUINARIA%20PESADA\IZAMIENTO%20LIFT%20FIXTURE%20SF-LF-002%20.pdf" TargetMode="External"/><Relationship Id="rId317" Type="http://schemas.openxmlformats.org/officeDocument/2006/relationships/hyperlink" Target="https://verificacion-equipos.netlify.app/v/SZBXNDHyeNYs" TargetMode="External"/><Relationship Id="rId8" Type="http://schemas.openxmlformats.org/officeDocument/2006/relationships/hyperlink" Target="..\CERTIFICACIONES%20SAMFOR\CERTIFICACIONES%20ACTUALES\CERTIFICADOS%20DE%20EQUIPOS\COMPARADOR%20DE%20CUADRANTE%20CA25SL6538.pdf" TargetMode="External"/><Relationship Id="rId98" Type="http://schemas.openxmlformats.org/officeDocument/2006/relationships/hyperlink" Target="..\CERTIFICACIONES%20SAMFOR\CERTIFICACIONES%20ACTUALES\CERTIFICADOS%20DE%20EQUIPOS\GRUA%20MANUAL%2015071057%20SF-POL-005%20.pdf" TargetMode="External"/><Relationship Id="rId121" Type="http://schemas.openxmlformats.org/officeDocument/2006/relationships/hyperlink" Target="..\CERTIFICACIONES%20SAMFOR\CERTIFICACIONES%20ACTUALES\CERTIFICADOS%20DE%20HERRAMIENTAS\ESLINGA%20SINTETICA%20BLANCA%20EC2B-2B%20EC3B-1B%20EC3B-2B%20EC3B-3B%20EC4B-3B%20.PDF" TargetMode="External"/><Relationship Id="rId142" Type="http://schemas.openxmlformats.org/officeDocument/2006/relationships/hyperlink" Target="..\CERTIFICACIONES%20SAMFOR\CERTIFICACIONES%20ACTUALES\CERTIFICADOS%20DE%20MAQUINARIA%20PESADA\RETROEXCAVADORA%20SERIAL%20TO310JX161698.pdf" TargetMode="External"/><Relationship Id="rId163" Type="http://schemas.openxmlformats.org/officeDocument/2006/relationships/hyperlink" Target="..\CERTIFICACIONES%20SAMFOR\CERTIFICACIONES%20ACTUALES\CERTIFICADOS%20EXTINTORES\EXTINTOR%20PTBG-011.pdf" TargetMode="External"/><Relationship Id="rId184" Type="http://schemas.openxmlformats.org/officeDocument/2006/relationships/hyperlink" Target="..\CERTIFICACIONES%20SAMFOR\CERTIFICACIONES%20ACTUALES\CERTIFICADOS%20EXTINTORES\EXTINTOR%20PTBG-032.pdf" TargetMode="External"/><Relationship Id="rId219" Type="http://schemas.openxmlformats.org/officeDocument/2006/relationships/hyperlink" Target="..\CERTIFICACIONES%20SAMFOR\CERTIFICACIONES%20ACTUALES\CERTIFICADOS%20DE%20EQUIPOS\GR&#218;A%20DE%20CADENA%20%20SF-POL-003.pdf" TargetMode="External"/><Relationship Id="rId230" Type="http://schemas.openxmlformats.org/officeDocument/2006/relationships/hyperlink" Target="..\CERTIFICACIONES%20SAMFOR\CERTIFICACIONES%20ACTUALES\CERTIFICADOS%20DE%20MAQUINARIA%20PESADA\PIN%20REY%20(Vacuum)%20SMP-463.pdf" TargetMode="External"/><Relationship Id="rId251" Type="http://schemas.openxmlformats.org/officeDocument/2006/relationships/hyperlink" Target="../CERTIFICACIONES%20SAMFOR/CERTIFICACIONES%20ACTUALES/CERTIFICADOS%20DE%20HERRAMIENTAS/SF-736%20CERTIFICADO%20SEGURIDAD.pdf" TargetMode="External"/><Relationship Id="rId25" Type="http://schemas.openxmlformats.org/officeDocument/2006/relationships/hyperlink" Target="..\CERTIFICACIONES%20SAMFOR\CERTIFICACIONES%20ACTUALES\CERTIFICADOS%20DE%20EQUIPOS\MULTIMETRO%2065560064.pdf" TargetMode="External"/><Relationship Id="rId46" Type="http://schemas.openxmlformats.org/officeDocument/2006/relationships/hyperlink" Target="..\CERTIFICACIONES%20SAMFOR\CERTIFICACIONES%20ACTUALES\CERTIFICADOS%20EXTINTORES\Certificado%20de%20C02%20BG-1.pdf" TargetMode="External"/><Relationship Id="rId67" Type="http://schemas.openxmlformats.org/officeDocument/2006/relationships/hyperlink" Target="..\CERTIFICACIONES%20SAMFOR\CERTIFICACIONES%20ACTUALES\CERTIFICADOS%20DE%20HERRAMIENTAS\ARNES%20SFAR002.PDF" TargetMode="External"/><Relationship Id="rId272" Type="http://schemas.openxmlformats.org/officeDocument/2006/relationships/hyperlink" Target="..\CERTIFICACIONES%20SAMFOR\CERTIFICACIONES%20ACTUALES\CERTIFICADOS%20DE%20HERRAMIENTAS\CA&#771;NCAMOS%201%20x%2013300Lb%20SF-CPT-1.pdf" TargetMode="External"/><Relationship Id="rId293" Type="http://schemas.openxmlformats.org/officeDocument/2006/relationships/hyperlink" Target="..\CERTIFICACIONES%20SAMFOR\CERTIFICACIONES%20ACTUALES\CERTIFICADOS%20DE%20HERRAMIENTAS\GRILLETES%20(1)%20V51.pdf" TargetMode="External"/><Relationship Id="rId307" Type="http://schemas.openxmlformats.org/officeDocument/2006/relationships/hyperlink" Target="../CERTIFICACIONES%20SAMFOR/CERTIFICACIONES%20ACTUALES/CERTIFICADOS%20DE%20EQUIPOS/GR&#218;A%20DE%20CADENA%20SF-POL-013.pdf" TargetMode="External"/><Relationship Id="rId328" Type="http://schemas.openxmlformats.org/officeDocument/2006/relationships/comments" Target="../comments1.xml"/><Relationship Id="rId88" Type="http://schemas.openxmlformats.org/officeDocument/2006/relationships/hyperlink" Target="..\CERTIFICACIONES%20SAMFOR\CERTIFICACIONES%20ACTUALES\CERTIFICADOS%20DE%20MAQUINARIA%20PESADA\QUINTA%20RUEDA%20FO8002226T%20PWS2.pdf" TargetMode="External"/><Relationship Id="rId111" Type="http://schemas.openxmlformats.org/officeDocument/2006/relationships/hyperlink" Target="..\CERTIFICACIONES%20SAMFOR\CERTIFICACIONES%20ACTUALES\CERTIFICADOS%20DE%20HERRAMIENTAS\ESLINGA%20SINT&#201;TICA%20SF-ESL-041.PDF" TargetMode="External"/><Relationship Id="rId132" Type="http://schemas.openxmlformats.org/officeDocument/2006/relationships/hyperlink" Target="..\CERTIFICACIONES%20SAMFOR\CERTIFICACIONES%20ACTUALES\CERTIFICADOS%20DE%20EQUIPOS\GUANTES%20DIELECTRICOS%204587194-4588840.pdf" TargetMode="External"/><Relationship Id="rId153" Type="http://schemas.openxmlformats.org/officeDocument/2006/relationships/hyperlink" Target="..\CERTIFICACIONES%20SAMFOR\CERTIFICACIONES%20ACTUALES\CERTIFICADOS%20DE%20EQUIPOS\GUANTES%20DIELECTRICO%20CLASS%200%20TIPO%201%204095607B.PDF" TargetMode="External"/><Relationship Id="rId174" Type="http://schemas.openxmlformats.org/officeDocument/2006/relationships/hyperlink" Target="..\CERTIFICACIONES%20SAMFOR\CERTIFICACIONES%20ACTUALES\CERTIFICADOS%20EXTINTORES\EXTINTOR%20PTBG-022.pdf" TargetMode="External"/><Relationship Id="rId195" Type="http://schemas.openxmlformats.org/officeDocument/2006/relationships/hyperlink" Target="..\CERTIFICACIONES%20SAMFOR\CERTIFICACIONES%20ACTUALES\CERTIFICADOS%20DE%20EQUIPOS\MODULO%20DE%20PRESION%206269278.pdf" TargetMode="External"/><Relationship Id="rId209" Type="http://schemas.openxmlformats.org/officeDocument/2006/relationships/hyperlink" Target="..\CERTIFICACIONES%20SAMFOR\CERTIFICACIONES%20ACTUALES\CERTIFICADOS%20DE%20EQUIPOS\PINZA%20AMPERIMETRICA%201308640099.PDF" TargetMode="External"/><Relationship Id="rId220" Type="http://schemas.openxmlformats.org/officeDocument/2006/relationships/hyperlink" Target="..\CERTIFICACIONES%20SAMFOR\CERTIFICACIONES%20ACTUALES\CERTIFICADOS%20DE%20EQUIPOS\GR&#218;A%20DE%20CADENA%20SF-POL-004.pdf" TargetMode="External"/><Relationship Id="rId241" Type="http://schemas.openxmlformats.org/officeDocument/2006/relationships/hyperlink" Target="," TargetMode="External"/><Relationship Id="rId15" Type="http://schemas.openxmlformats.org/officeDocument/2006/relationships/hyperlink" Target="..\CERTIFICACIONES%20SAMFOR\CERTIFICACIONES%20ACTUALES\CERTIFICADOS%20DE%20EQUIPOS\DTX-1800%20181369%201813070.pdf" TargetMode="External"/><Relationship Id="rId36" Type="http://schemas.openxmlformats.org/officeDocument/2006/relationships/hyperlink" Target="..\CERTIFICACIONES%20SAMFOR\CERTIFICACIONES%20ACTUALES\CERTIFICADOS%20EXTINTORES\Certificado%20de%20C02%20BG-1.pdf" TargetMode="External"/><Relationship Id="rId57" Type="http://schemas.openxmlformats.org/officeDocument/2006/relationships/hyperlink" Target="..\CERTIFICACIONES%20SAMFOR\CERTIFICACIONES%20ACTUALES\CERTIFICADOS%20EXTINTORES\Bombonas%20CO2%20Bg2.pdf" TargetMode="External"/><Relationship Id="rId262" Type="http://schemas.openxmlformats.org/officeDocument/2006/relationships/hyperlink" Target="..\CERTIFICACIONES%20SAMFOR\CERTIFICACIONES%20ACTUALES\CERTIFICADOS%20DE%20EQUIPOS\DETECTOR%20MULTIGAS%20SF-MED-053.pdf" TargetMode="External"/><Relationship Id="rId283" Type="http://schemas.openxmlformats.org/officeDocument/2006/relationships/hyperlink" Target="../CERTIFICACIONES%20SAMFOR/CERTIFICACIONES%20ACTUALES/CERTIFICADOS%20DE%20HERRAMIENTAS/SOPORTE%20AJUSTABLE%20Y%20FIJO%207T.pdf" TargetMode="External"/><Relationship Id="rId318" Type="http://schemas.openxmlformats.org/officeDocument/2006/relationships/hyperlink" Target="https://verificacion-equipos.netlify.app/v/UrPJJipubqac" TargetMode="External"/><Relationship Id="rId78" Type="http://schemas.openxmlformats.org/officeDocument/2006/relationships/hyperlink" Target="..\CERTIFICACIONES%20SAMFOR\CERTIFICACIONES%20ACTUALES\CERTIFICADOS%20DE%20HERRAMIENTAS\SOPORTE%20AJUSTABLE%20Y%20FIJO%207T.pdf" TargetMode="External"/><Relationship Id="rId99" Type="http://schemas.openxmlformats.org/officeDocument/2006/relationships/hyperlink" Target="..\CERTIFICACIONES%20SAMFOR\CERTIFICACIONES%20ACTUALES\CERTIFICADOS%20DE%20MAQUINARIA%20PESADA\GRUA%20MONORRIEL%20%20ZLG-6143.PDF" TargetMode="External"/><Relationship Id="rId101" Type="http://schemas.openxmlformats.org/officeDocument/2006/relationships/hyperlink" Target="..\CERTIFICACIONES%20SAMFOR\CERTIFICACIONES%20ACTUALES\CERTIFICADOS%20DE%20EQUIPOS\TORQUIMETRO%2012%206791.PDF" TargetMode="External"/><Relationship Id="rId122" Type="http://schemas.openxmlformats.org/officeDocument/2006/relationships/hyperlink" Target="..\CERTIFICACIONES%20SAMFOR\CERTIFICACIONES%20ACTUALES\CERTIFICADOS%20DE%20HERRAMIENTAS\ESLINGA%20SINTETICA%20SF-ESL-019%20SAMFOR.pdf" TargetMode="External"/><Relationship Id="rId143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164" Type="http://schemas.openxmlformats.org/officeDocument/2006/relationships/hyperlink" Target="..\CERTIFICACIONES%20SAMFOR\CERTIFICACIONES%20ACTUALES\CERTIFICADOS%20EXTINTORES\EXTINTOR%20PTBG-012.pdf" TargetMode="External"/><Relationship Id="rId185" Type="http://schemas.openxmlformats.org/officeDocument/2006/relationships/hyperlink" Target="..\CERTIFICACIONES%20SAMFOR\CERTIFICACIONES%20ACTUALES\CERTIFICADOS%20EXTINTORES\EXTINTOR%20PTBG-033.pdf" TargetMode="External"/><Relationship Id="rId9" Type="http://schemas.openxmlformats.org/officeDocument/2006/relationships/hyperlink" Target="..\CERTIFICACIONES%20SAMFOR\CERTIFICACIONES%20ACTUALES\CERTIFICADOS%20DE%20EQUIPOS\COMUNICADOR%20HART%2011099676.PDF" TargetMode="External"/><Relationship Id="rId210" Type="http://schemas.openxmlformats.org/officeDocument/2006/relationships/hyperlink" Target="..\CERTIFICACIONES%20SAMFOR\CERTIFICACIONES%20ACTUALES\CERTIFICADOS%20DE%20EQUIPOS\PINZA%20AMPERIMETRICA%2069540107WS.pdf" TargetMode="External"/><Relationship Id="rId26" Type="http://schemas.openxmlformats.org/officeDocument/2006/relationships/hyperlink" Target="..\CERTIFICACIONES%20SAMFOR\CERTIFICACIONES%20ACTUALES\CERTIFICADOS%20DE%20EQUIPOS\MULTIMETRO%20Y%20MEGGER%2093620040.PDF" TargetMode="External"/><Relationship Id="rId231" Type="http://schemas.openxmlformats.org/officeDocument/2006/relationships/hyperlink" Target="..\CERTIFICACIONES%20SAMFOR\CERTIFICACIONES%20ACTUALES\CERTIFICADOS%20DE%20MAQUINARIA%20PESADA\VACUUM%2008011253%20SMP-463.pdf" TargetMode="External"/><Relationship Id="rId252" Type="http://schemas.openxmlformats.org/officeDocument/2006/relationships/hyperlink" Target="..\CERTIFICACIONES%20SAMFOR\CERTIFICACIONES%20ACTUALES\CERTIFICADOS%20DE%20HERRAMIENTAS\VALVULA%20DE%20SEGURIDAD%20SA95397%20.pdf" TargetMode="External"/><Relationship Id="rId273" Type="http://schemas.openxmlformats.org/officeDocument/2006/relationships/hyperlink" Target="..\CERTIFICACIONES%20SAMFOR\CERTIFICACIONES%20ACTUALES\CERTIFICADOS%20DE%20HERRAMIENTAS\CA&#771;NCAMOS%201%20x%2013300Lb%20SF-CPT-2.pdf" TargetMode="External"/><Relationship Id="rId294" Type="http://schemas.openxmlformats.org/officeDocument/2006/relationships/hyperlink" Target="../CERTIFICACIONES%20SAMFOR/CERTIFICACIONES%20ACTUALES/CERTIFICADOS%20DE%20MAQUINARIA%20PESADA/MONTACARGAS%209450FB%20SAMFOR%20SML-400.pdf" TargetMode="External"/><Relationship Id="rId308" Type="http://schemas.openxmlformats.org/officeDocument/2006/relationships/hyperlink" Target="../CERTIFICACIONES%20SAMFOR/CERTIFICACIONES%20ACTUALES/CERTIFICADOS%20DE%20HERRAMIENTAS/GRILLETES%20(1)" TargetMode="External"/><Relationship Id="rId47" Type="http://schemas.openxmlformats.org/officeDocument/2006/relationships/hyperlink" Target="..\CERTIFICACIONES%20SAMFOR\CERTIFICACIONES%20ACTUALES\CERTIFICADOS%20EXTINTORES\Certificado%20de%20C02%20BG-1.pdf" TargetMode="External"/><Relationship Id="rId68" Type="http://schemas.openxmlformats.org/officeDocument/2006/relationships/hyperlink" Target="..\CERTIFICACIONES%20SAMFOR\CERTIFICACIONES%20ACTUALES\CERTIFICADOS%20DE%20HERRAMIENTAS\ARN&#201;S%20Y%20CABO%20DE%20VIDA%20005%20007.PDF" TargetMode="External"/><Relationship Id="rId89" Type="http://schemas.openxmlformats.org/officeDocument/2006/relationships/hyperlink" Target="..\CERTIFICACIONES%20SAMFOR\CERTIFICACIONES%20ACTUALES\CERTIFICADOS%20DE%20MAQUINARIA%20PESADA\GR&#218;A%20ARTICULADA%202664%20SAMFOR.pdf" TargetMode="External"/><Relationship Id="rId112" Type="http://schemas.openxmlformats.org/officeDocument/2006/relationships/hyperlink" Target="..\CERTIFICACIONES%20SAMFOR\CERTIFICACIONES%20ACTUALES\CERTIFICADOS%20DE%20HERRAMIENTAS\ESLINGA%20SINT&#201;TICA%20SF%20-ESL-042.PDF" TargetMode="External"/><Relationship Id="rId133" Type="http://schemas.openxmlformats.org/officeDocument/2006/relationships/hyperlink" Target="..\..\..\..\..\..\Usuario\Mi%20unidad\SAMFOR\CALIDAD\2.-%20CERTIFICACIONES\CERTIFICACIONES%20SAMFOR\CERTIFICACIONES%20ACTUALES\CERTIFICADOS%20DE%20EQUIPOS\MEGGER%20704616.PDF" TargetMode="External"/><Relationship Id="rId154" Type="http://schemas.openxmlformats.org/officeDocument/2006/relationships/hyperlink" Target="..\CERTIFICACIONES%20SAMFOR\CERTIFICACIONES%20ACTUALES\CERTIFICADOS%20DE%20EQUIPOS\DETECTOR%20MULTIGAS%2020240121051.pdf" TargetMode="External"/><Relationship Id="rId175" Type="http://schemas.openxmlformats.org/officeDocument/2006/relationships/hyperlink" Target="..\CERTIFICACIONES%20SAMFOR\CERTIFICACIONES%20ACTUALES\CERTIFICADOS%20EXTINTORES\EXTINTOR%20PTBG-023.pdf" TargetMode="External"/><Relationship Id="rId196" Type="http://schemas.openxmlformats.org/officeDocument/2006/relationships/hyperlink" Target="..\CERTIFICACIONES%20SAMFOR\CERTIFICACIONES%20ACTUALES\CERTIFICADOS%20DE%20EQUIPOS\MODULO%20DE%20PRESION%203212012.pdf" TargetMode="External"/><Relationship Id="rId200" Type="http://schemas.openxmlformats.org/officeDocument/2006/relationships/hyperlink" Target="..\CERTIFICACIONES%20SAMFOR\CERTIFICACIONES%20ACTUALES\CERTIFICADOS%20DE%20EQUIPOS\COMUNICADOR%20DE%20CAMPO%207130409.pdf" TargetMode="External"/><Relationship Id="rId16" Type="http://schemas.openxmlformats.org/officeDocument/2006/relationships/hyperlink" Target="..\CERTIFICACIONES%20SAMFOR\CERTIFICACIONES%20ACTUALES\CERTIFICADOS%20DE%20EQUIPOS\DTX%201800%201855623.pdf" TargetMode="External"/><Relationship Id="rId221" Type="http://schemas.openxmlformats.org/officeDocument/2006/relationships/hyperlink" Target="..\CERTIFICACIONES%20SAMFOR\CERTIFICACIONES%20ACTUALES\CERTIFICADOS%20DE%20EQUIPOS\GR&#218;A%20DE%20CADENA%20SF-POL-006.pdf" TargetMode="External"/><Relationship Id="rId242" Type="http://schemas.openxmlformats.org/officeDocument/2006/relationships/hyperlink" Target="..\CERTIFICACIONES%20SAMFOR\CERTIFICACIONES%20ACTUALES\CERTIFICADOS%20DE%20EQUIPOS\DETECTOR%20DE%20GAS%20SF6%204199.pdf" TargetMode="External"/><Relationship Id="rId263" Type="http://schemas.openxmlformats.org/officeDocument/2006/relationships/hyperlink" Target="../CERTIFICACIONES%20SAMFOR/CERTIFICACIONES%20ACTUALES/CERTIFICADOS%20DE%20EQUIPOS/DETECTOR%20MULTIGAS%20SF-MED-054.pdf" TargetMode="External"/><Relationship Id="rId284" Type="http://schemas.openxmlformats.org/officeDocument/2006/relationships/hyperlink" Target="..\CERTIFICACIONES%20SAMFOR\CERTIFICACIONES%20ACTUALES\CERTIFICADOS%20DE%20HERRAMIENTAS\ESLINGA%20DE%20ACERO%20JW-215-JW-216%20SL-ESLA-005A-B.pdf" TargetMode="External"/><Relationship Id="rId319" Type="http://schemas.openxmlformats.org/officeDocument/2006/relationships/hyperlink" Target="https://verificacion-equipos.netlify.app/v/fuzPnLuSTvHJ" TargetMode="External"/><Relationship Id="rId37" Type="http://schemas.openxmlformats.org/officeDocument/2006/relationships/hyperlink" Target="..\CERTIFICACIONES%20SAMFOR\CERTIFICACIONES%20ACTUALES\CERTIFICADOS%20EXTINTORES\Certificado%20de%20C02%20BG-1.pdf" TargetMode="External"/><Relationship Id="rId58" Type="http://schemas.openxmlformats.org/officeDocument/2006/relationships/hyperlink" Target="..\CERTIFICACIONES%20SAMFOR\CERTIFICACIONES%20ACTUALES\CERTIFICADOS%20EXTINTORES\Bombonas%20CO2%20Bg2.pdf" TargetMode="External"/><Relationship Id="rId79" Type="http://schemas.openxmlformats.org/officeDocument/2006/relationships/hyperlink" Target="..\CERTIFICACIONES%20SAMFOR\CERTIFICACIONES%20ACTUALES\CERTIFICADOS%20DE%20HERRAMIENTAS\VALVULAS%20DE%20SEGURIDAD%20BG-2\CERTIFICADO%20SF-621.pdf" TargetMode="External"/><Relationship Id="rId102" Type="http://schemas.openxmlformats.org/officeDocument/2006/relationships/hyperlink" Target="..\CERTIFICACIONES%20SAMFOR\CERTIFICACIONES%20ACTUALES\CERTIFICADOS%20DE%20EQUIPOS\TORQUIMETRO%2034%206789.PDF" TargetMode="External"/><Relationship Id="rId123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144" Type="http://schemas.openxmlformats.org/officeDocument/2006/relationships/hyperlink" Target="..\CERTIFICACIONES%20SAMFOR\CERTIFICACIONES%20ACTUALES\CERTIFICADOS%20DE%20HERRAMIENTAS\ARNES%20Y%20CABO%20DE%20VIDA%20008,010.pdf" TargetMode="External"/><Relationship Id="rId90" Type="http://schemas.openxmlformats.org/officeDocument/2006/relationships/hyperlink" Target="..\CERTIFICACIONES%20SAMFOR\CERTIFICACIONES%20ACTUALES\CERTIFICADOS%20DE%20HERRAMIENTAS\ESLINGAS%20(1INCH%20x1M)%20492504%20492505%20493506.pdf" TargetMode="External"/><Relationship Id="rId165" Type="http://schemas.openxmlformats.org/officeDocument/2006/relationships/hyperlink" Target="..\CERTIFICACIONES%20SAMFOR\CERTIFICACIONES%20ACTUALES\CERTIFICADOS%20EXTINTORES\EXTINTOR%20PTBG-013.pdf" TargetMode="External"/><Relationship Id="rId186" Type="http://schemas.openxmlformats.org/officeDocument/2006/relationships/hyperlink" Target="..\CERTIFICACIONES%20SAMFOR\CERTIFICACIONES%20ACTUALES\CERTIFICADOS%20EXTINTORES\EXTINTOR%20PTBG-034.pdf" TargetMode="External"/><Relationship Id="rId211" Type="http://schemas.openxmlformats.org/officeDocument/2006/relationships/hyperlink" Target="..\certificaciones%20samfor\CERTIFICACIONES%20ACTUALES\CERTIFICADOS%20DE%20EQUIPOS\PINZA%20AMPERIMETRICA%2065960628MV.pdf" TargetMode="External"/><Relationship Id="rId232" Type="http://schemas.openxmlformats.org/officeDocument/2006/relationships/hyperlink" Target="..\CERTIFICACIONES%20SAMFOR\CERTIFICACIONES%20ACTUALES\CERTIFICADOS%20DE%20MAQUINARIA%20PESADA\IZAMIENTO_LIFT%20FIXTURE%20(Avion)%20SF-LF-001.pdf" TargetMode="External"/><Relationship Id="rId253" Type="http://schemas.openxmlformats.org/officeDocument/2006/relationships/hyperlink" Target="../CERTIFICACIONES%20SAMFOR/CERTIFICACIONES%20ACTUALES/CERTIFICADOS%20DE%20HERRAMIENTAS/VALVULA%20DE%20SEGURIDAD%20SB01227%20.pdf" TargetMode="External"/><Relationship Id="rId274" Type="http://schemas.openxmlformats.org/officeDocument/2006/relationships/hyperlink" Target="../CERTIFICACIONES%20SAMFOR/CERTIFICACIONES%20ACTUALES/CERTIFICADOS%20DE%20EQUIPOS/GRUA%20DE%20CADENA%20%20SF-POL-011.pdf" TargetMode="External"/><Relationship Id="rId295" Type="http://schemas.openxmlformats.org/officeDocument/2006/relationships/hyperlink" Target="..\CERTIFICACIONES%20SAMFOR\CERTIFICACIONES%20ACTUALES\CERTIFICADOS%20DE%20MAQUINARIA%20PESADA\ELEVADOR%20DE%20PERSONAL%20%2004170600664%20SML-409.pdf" TargetMode="External"/><Relationship Id="rId309" Type="http://schemas.openxmlformats.org/officeDocument/2006/relationships/hyperlink" Target="../CERTIFICACIONES%20SAMFOR/CERTIFICACIONES%20ACTUALES/CERTIFICADOS%20DE%20EQUIPOS/MANOMETRO%20DIGITAL%20030250050090.PDF" TargetMode="External"/><Relationship Id="rId27" Type="http://schemas.openxmlformats.org/officeDocument/2006/relationships/hyperlink" Target="..\CERTIFICACIONES%20SAMFOR\CERTIFICACIONES%20ACTUALES\CERTIFICADOS%20DE%20EQUIPOS\POLIPASTO%20MANUAL%20DE%20CADENA%205309.pdf" TargetMode="External"/><Relationship Id="rId48" Type="http://schemas.openxmlformats.org/officeDocument/2006/relationships/hyperlink" Target="..\CERTIFICACIONES%20SAMFOR\CERTIFICACIONES%20ACTUALES\CERTIFICADOS%20EXTINTORES\Certificado%20de%20C02%20BG-1.pdf" TargetMode="External"/><Relationship Id="rId69" Type="http://schemas.openxmlformats.org/officeDocument/2006/relationships/hyperlink" Target="..\CERTIFICACIONES%20SAMFOR\CERTIFICACIONES%20ACTUALES\CERTIFICADOS%20DE%20HERRAMIENTAS\CABLE%20ACERO%201&#8221;%20X%203%20MTS.pdf" TargetMode="External"/><Relationship Id="rId113" Type="http://schemas.openxmlformats.org/officeDocument/2006/relationships/hyperlink" Target="..\CERTIFICACIONES%20SAMFOR\CERTIFICACIONES%20ACTUALES\CERTIFICADOS%20DE%20EQUIPOS\MAQUINA%20DE%20SOLDAR%20%20U1080600539.pdf" TargetMode="External"/><Relationship Id="rId134" Type="http://schemas.openxmlformats.org/officeDocument/2006/relationships/hyperlink" Target="..\..\..\..\..\..\Usuario\Mi%20unidad\SAMFOR\CALIDAD\2.-%20CERTIFICACIONES\CERTIFICACIONES%20SAMFOR\CERTIFICACIONES%20ACTUALES\CERTIFICADOS%20DE%20EQUIPOS\CALIBRADOR%20DE%20PROCESO%20DE%20DOCUMENTACION%209478031.PDF" TargetMode="External"/><Relationship Id="rId320" Type="http://schemas.openxmlformats.org/officeDocument/2006/relationships/hyperlink" Target="https://verificacion-equipos.netlify.app/v/sQhGuXG3D4vp" TargetMode="External"/><Relationship Id="rId80" Type="http://schemas.openxmlformats.org/officeDocument/2006/relationships/hyperlink" Target="..\CERTIFICACIONES%20SAMFOR\CERTIFICACIONES%20ACTUALES\CERTIFICADOS%20DE%20HERRAMIENTAS\VALVULAS%20DE%20SEGURIDAD%20BG-2\CERTIFICADO%20SF-622.pdf" TargetMode="External"/><Relationship Id="rId155" Type="http://schemas.openxmlformats.org/officeDocument/2006/relationships/hyperlink" Target="..\CERTIFICACIONES%20SAMFOR\CERTIFICACIONES%20ACTUALES\CERTIFICADOS%20EXTINTORES\EXTINTOR%20PTBG-002.pdf" TargetMode="External"/><Relationship Id="rId176" Type="http://schemas.openxmlformats.org/officeDocument/2006/relationships/hyperlink" Target="..\CERTIFICACIONES%20SAMFOR\CERTIFICACIONES%20ACTUALES\CERTIFICADOS%20EXTINTORES\EXTINTOR%20PTBG-024.pdf" TargetMode="External"/><Relationship Id="rId197" Type="http://schemas.openxmlformats.org/officeDocument/2006/relationships/hyperlink" Target="..\CERTIFICACIONES%20SAMFOR\CERTIFICACIONES%20ACTUALES\CERTIFICADOS%20DE%20EQUIPOS\MULTIMETRO%20C232601608%20SF-MED-030%20.pdf" TargetMode="External"/><Relationship Id="rId201" Type="http://schemas.openxmlformats.org/officeDocument/2006/relationships/hyperlink" Target="..\CERTIFICACIONES%20SAMFOR\CERTIFICACIONES%20ACTUALES\CERTIFICADOS%20DE%20EQUIPOS\PINZA%20AMPERIMETRICA%2014960110..pdf" TargetMode="External"/><Relationship Id="rId222" Type="http://schemas.openxmlformats.org/officeDocument/2006/relationships/hyperlink" Target="..\CERTIFICACIONES%20SAMFOR\CERTIFICACIONES%20ACTUALES\CERTIFICADOS%20DE%20HERRAMIENTAS\ARNES%20Y%20CABO%20DE%20VIDA%20SF-ARN-026%20.pdf" TargetMode="External"/><Relationship Id="rId243" Type="http://schemas.openxmlformats.org/officeDocument/2006/relationships/hyperlink" Target="..\CERTIFICACIONES%20SAMFOR\CERTIFICACIONES%20ACTUALES\CERTIFICADOS%20DE%20EQUIPOS\PERTIGA%20ELECTRICA%20BRAZO%20MECANICO%20SF-PER-001.PDF" TargetMode="External"/><Relationship Id="rId264" Type="http://schemas.openxmlformats.org/officeDocument/2006/relationships/hyperlink" Target="..\CERTIFICACIONES%20SAMFOR\CERTIFICACIONES%20ACTUALES\CERTIFICADOS%20DE%20EQUIPOS\DETECTOR%20MULTIGAS%20SF-MED-055.pdf" TargetMode="External"/><Relationship Id="rId285" Type="http://schemas.openxmlformats.org/officeDocument/2006/relationships/hyperlink" Target="../CERTIFICACIONES%20SAMFOR/CERTIFICACIONES%20ACTUALES/CERTIFICADOS%20DE%20HERRAMIENTAS/GRILLETES%20JW219-JW220%20.pdf" TargetMode="External"/><Relationship Id="rId17" Type="http://schemas.openxmlformats.org/officeDocument/2006/relationships/hyperlink" Target="..\certificaciones%20samfor\CERTIFICACIONES%20ACTUALES\CERTIFICADOS%20DE%20EQUIPOS\DTX-1800%209670008.pdf" TargetMode="External"/><Relationship Id="rId38" Type="http://schemas.openxmlformats.org/officeDocument/2006/relationships/hyperlink" Target="..\CERTIFICACIONES%20SAMFOR\CERTIFICACIONES%20ACTUALES\CERTIFICADOS%20EXTINTORES\Certificado%20de%20C02%20BG-1.pdf" TargetMode="External"/><Relationship Id="rId59" Type="http://schemas.openxmlformats.org/officeDocument/2006/relationships/hyperlink" Target="..\CERTIFICACIONES%20SAMFOR\CERTIFICACIONES%20ACTUALES\CERTIFICADOS%20EXTINTORES\Bombonas%20CO2%20Bg2.pdf" TargetMode="External"/><Relationship Id="rId103" Type="http://schemas.openxmlformats.org/officeDocument/2006/relationships/hyperlink" Target="..\CERTIFICACIONES%20SAMFOR\CERTIFICACIONES%20ACTUALES\CERTIFICADOS%20DE%20EQUIPOS\TORQUIMETRO%2038%206790.PDF" TargetMode="External"/><Relationship Id="rId124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310" Type="http://schemas.openxmlformats.org/officeDocument/2006/relationships/hyperlink" Target="..\CERTIFICACIONES%20SAMFOR\CERTIFICACIONES%20ACTUALES\CERTIFICADOS%20DE%20EQUIPOS\GR&#218;A%20DE%20CADENA%20%20SF-POL-010.pdf" TargetMode="External"/><Relationship Id="rId70" Type="http://schemas.openxmlformats.org/officeDocument/2006/relationships/hyperlink" Target="..\CERTIFICACIONES%20SAMFOR\CERTIFICACIONES%20ACTUALES\CERTIFICADOS%20DE%20HERRAMIENTAS\ESLINGA%20162418%2029.%20112417%2018.%20142409%2010.PDF" TargetMode="External"/><Relationship Id="rId91" Type="http://schemas.openxmlformats.org/officeDocument/2006/relationships/hyperlink" Target="..\CERTIFICACIONES%20SAMFOR\CERTIFICACIONES%20ACTUALES\CERTIFICADOS%20DE%20HERRAMIENTAS\ESLINGAS%20(3.5%20INCH%20X%203m)%20472550%20472551%20472552%20442515.pdf" TargetMode="External"/><Relationship Id="rId14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6" Type="http://schemas.openxmlformats.org/officeDocument/2006/relationships/hyperlink" Target="..\CERTIFICACIONES%20SAMFOR\CERTIFICACIONES%20ACTUALES\CERTIFICADOS%20EXTINTORES\EXTINTOR%20PTBG-014.pdf" TargetMode="External"/><Relationship Id="rId187" Type="http://schemas.openxmlformats.org/officeDocument/2006/relationships/hyperlink" Target="..\CERTIFICACIONES%20SAMFOR\CERTIFICACIONES%20ACTUALES\CERTIFICADOS%20EXTINTORES\EXTINTOR%20PTBG-035.pdf" TargetMode="External"/><Relationship Id="rId1" Type="http://schemas.openxmlformats.org/officeDocument/2006/relationships/hyperlink" Target="," TargetMode="External"/><Relationship Id="rId212" Type="http://schemas.openxmlformats.org/officeDocument/2006/relationships/hyperlink" Target="..\certificaciones%20samfor\CERTIFICACIONES%20ACTUALES\CERTIFICADOS%20DE%20EQUIPOS\PINZA%20AMPERIMETRICA%208-555725.pdf" TargetMode="External"/><Relationship Id="rId233" Type="http://schemas.openxmlformats.org/officeDocument/2006/relationships/hyperlink" Target="..\CERTIFICACIONES%20SAMFOR\CERTIFICACIONES%20ACTUALES\CERTIFICADOS%20DE%20MAQUINARIA%20PESADA\TROLLEY%20(Ajustable)%20SF-TRO-001.pdf" TargetMode="External"/><Relationship Id="rId254" Type="http://schemas.openxmlformats.org/officeDocument/2006/relationships/hyperlink" Target="../CERTIFICACIONES%20SAMFOR/CERTIFICACIONES%20ACTUALES/CERTIFICADOS%20DE%20HERRAMIENTAS/SF-746%20CERTIFICADO%20DILUVIO.pdf" TargetMode="External"/><Relationship Id="rId28" Type="http://schemas.openxmlformats.org/officeDocument/2006/relationships/hyperlink" Target="..\CERTIFICACIONES%20SAMFOR\CERTIFICACIONES%20ACTUALES\CERTIFICADOS%20DE%20EQUIPOS\GRUA%20MANUAL%20F00010%20SAMFOR%20.pdf" TargetMode="External"/><Relationship Id="rId49" Type="http://schemas.openxmlformats.org/officeDocument/2006/relationships/hyperlink" Target="..\CERTIFICACIONES%20SAMFOR\CERTIFICACIONES%20ACTUALES\CERTIFICADOS%20EXTINTORES\Bombonas%20CO2%20Bg2.pdf" TargetMode="External"/><Relationship Id="rId114" Type="http://schemas.openxmlformats.org/officeDocument/2006/relationships/hyperlink" Target="..\CERTIFICACIONES%20SAMFOR\CERTIFICACIONES%20ACTUALES\CERTIFICADOS%20DE%20EQUIPOS\MAQUINA%20DE%20SOLDAR%20ELECTRICA%20%2012C9K419400100391480056.pdf" TargetMode="External"/><Relationship Id="rId275" Type="http://schemas.openxmlformats.org/officeDocument/2006/relationships/hyperlink" Target="../CERTIFICACIONES%20SAMFOR/CERTIFICACIONES%20ACTUALES/CERTIFICADOS%20DE%20MAQUINARIA%20PESADA/GRUA%20MONORRIEL%20BG1%20ZLG-6087.pdf" TargetMode="External"/><Relationship Id="rId296" Type="http://schemas.openxmlformats.org/officeDocument/2006/relationships/hyperlink" Target="../CERTIFICACIONES%20SAMFOR/CERTIFICACIONES%20ACTUALES/CERTIFICADOS%20DE%20EQUIPOS/GRU&#769;A%20TELESCO&#769;PICA%2081742%2030T.pdf" TargetMode="External"/><Relationship Id="rId300" Type="http://schemas.openxmlformats.org/officeDocument/2006/relationships/hyperlink" Target="../CERTIFICACIONES%20SAMFOR/CERTIFICACIONES%20ACTUALES/CERTIFICADOS%20DE%20HERRAMIENTAS/ARNES%20Y%20CABO%20DE%20VIDA%20%20SF-ARN-054.pdf" TargetMode="External"/><Relationship Id="rId60" Type="http://schemas.openxmlformats.org/officeDocument/2006/relationships/hyperlink" Target="..\CERTIFICACIONES%20SAMFOR\CERTIFICACIONES%20ACTUALES\CERTIFICADOS%20EXTINTORES\Bombonas%20CO2%20Bg2.pdf" TargetMode="External"/><Relationship Id="rId8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135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56" Type="http://schemas.openxmlformats.org/officeDocument/2006/relationships/hyperlink" Target="..\CERTIFICACIONES%20SAMFOR\CERTIFICACIONES%20ACTUALES\CERTIFICADOS%20EXTINTORES\EXTINTOR%20PTBG-003.pdf" TargetMode="External"/><Relationship Id="rId177" Type="http://schemas.openxmlformats.org/officeDocument/2006/relationships/hyperlink" Target="..\CERTIFICACIONES%20SAMFOR\CERTIFICACIONES%20ACTUALES\CERTIFICADOS%20EXTINTORES\EXTINTOR%20PTBG-025.pdf" TargetMode="External"/><Relationship Id="rId198" Type="http://schemas.openxmlformats.org/officeDocument/2006/relationships/hyperlink" Target="..\CERTIFICACIONES%20SAMFOR\CERTIFICACIONES%20ACTUALES\CERTIFICADOS%20DE%20EQUIPOS\BOMBA%20NEUMATICA%20239466.pdf" TargetMode="External"/><Relationship Id="rId321" Type="http://schemas.openxmlformats.org/officeDocument/2006/relationships/hyperlink" Target="https://verificacion-equipos.netlify.app/v/oud4RQKWxjcj" TargetMode="External"/><Relationship Id="rId202" Type="http://schemas.openxmlformats.org/officeDocument/2006/relationships/hyperlink" Target="..\CERTIFICACIONES%20SAMFOR\CERTIFICACIONES%20ACTUALES\CERTIFICADOS%20DE%20EQUIPOS\PINZA%20AMPERIMETRICA%2064780046WS.pdf" TargetMode="External"/><Relationship Id="rId223" Type="http://schemas.openxmlformats.org/officeDocument/2006/relationships/hyperlink" Target="../CERTIFICACIONES%20SAMFOR/CERTIFICACIONES%20ACTUALES/CERTIFICADOS%20DE%20HERRAMIENTAS/ARNES%20Y%20CABO%20DE%20VIDA%20SF-ARN-027.pdf" TargetMode="External"/><Relationship Id="rId244" Type="http://schemas.openxmlformats.org/officeDocument/2006/relationships/hyperlink" Target="../CERTIFICACIONES%20SAMFOR/CERTIFICACIONES%20ACTUALES/CERTIFICADOS%20DE%20EQUIPOS/PERTIGA%20TELESCOPICA%20TRIANGULAR%20SF-PERT-001.PDF" TargetMode="External"/><Relationship Id="rId18" Type="http://schemas.openxmlformats.org/officeDocument/2006/relationships/hyperlink" Target="..\CERTIFICACIONES%20SAMFOR\CERTIFICACIONES%20ACTUALES\CERTIFICADOS%20DE%20EQUIPOS\GUANTES%20DIEL&#201;CTRICO%20S%205332860%205332859.PDF" TargetMode="External"/><Relationship Id="rId39" Type="http://schemas.openxmlformats.org/officeDocument/2006/relationships/hyperlink" Target="..\CERTIFICACIONES%20SAMFOR\CERTIFICACIONES%20ACTUALES\CERTIFICADOS%20EXTINTORES\Certificado%20de%20C02%20BG-1.pdf" TargetMode="External"/><Relationship Id="rId265" Type="http://schemas.openxmlformats.org/officeDocument/2006/relationships/hyperlink" Target="..\CERTIFICACIONES%20SAMFOR\CERTIFICACIONES%20ACTUALES\CERTIFICADOS%20DE%20EQUIPOS\TORQUIMETRO%201-2%20H5%205240202433.pdf" TargetMode="External"/><Relationship Id="rId286" Type="http://schemas.openxmlformats.org/officeDocument/2006/relationships/hyperlink" Target="../CERTIFICACIONES%20SAMFOR/CERTIFICACIONES%20ACTUALES/CERTIFICADOS%20DE%20HERRAMIENTAS/GRILLETES%20JW217-JW218%20.pdf" TargetMode="External"/><Relationship Id="rId50" Type="http://schemas.openxmlformats.org/officeDocument/2006/relationships/hyperlink" Target="..\CERTIFICACIONES%20SAMFOR\CERTIFICACIONES%20ACTUALES\CERTIFICADOS%20EXTINTORES\Bombonas%20CO2%20Bg2.pdf" TargetMode="External"/><Relationship Id="rId104" Type="http://schemas.openxmlformats.org/officeDocument/2006/relationships/hyperlink" Target="..\CERTIFICACIONES%20SAMFOR\CERTIFICACIONES%20ACTUALES\CERTIFICADOS%20DE%20EQUIPOS\OSCILOSCOPIO%20MULT&#205;METRO%20.PDF" TargetMode="External"/><Relationship Id="rId125" Type="http://schemas.openxmlformats.org/officeDocument/2006/relationships/hyperlink" Target="..\CERTIFICACIONES%20SAMFOR\CERTIFICACIONES%20ACTUALES\CERTIFICADOS%20DE%20MAQUINARIA%20PESADA\MONORRIEL%20SF-MON-001%20.pdf" TargetMode="External"/><Relationship Id="rId146" Type="http://schemas.openxmlformats.org/officeDocument/2006/relationships/hyperlink" Target="..\CERTIFICACIONES%20SAMFOR\CERTIFICACIONES%20ACTUALES\CERTIFICADOS%20DE%20HERRAMIENTAS\ARNES%20Y%20CABO%20DE%20VIDA%20019.pdf" TargetMode="External"/><Relationship Id="rId167" Type="http://schemas.openxmlformats.org/officeDocument/2006/relationships/hyperlink" Target="..\CERTIFICACIONES%20SAMFOR\CERTIFICACIONES%20ACTUALES\CERTIFICADOS%20EXTINTORES\EXTINTOR%20PTBG-015.pdf" TargetMode="External"/><Relationship Id="rId188" Type="http://schemas.openxmlformats.org/officeDocument/2006/relationships/hyperlink" Target="..\CERTIFICACIONES%20SAMFOR\CERTIFICACIONES%20ACTUALES\CERTIFICADOS%20EXTINTORES\EXTINTOR%20PTBG-036.pdf" TargetMode="External"/><Relationship Id="rId311" Type="http://schemas.openxmlformats.org/officeDocument/2006/relationships/hyperlink" Target="..\CERTIFICACIONES%20SAMFOR\CERTIFICACIONES%20ACTUALES\CERTIFICADOS%20DE%20MAQUINARIA%20PESADA\MONORRIEL%20SF-MON-003.pdf" TargetMode="External"/><Relationship Id="rId71" Type="http://schemas.openxmlformats.org/officeDocument/2006/relationships/hyperlink" Target="..\CERTIFICACIONES%20SAMFOR\CERTIFICACIONES%20ACTUALES\CERTIFICADOS%20DE%20HERRAMIENTAS\ESLINGA%20382403.PDF" TargetMode="External"/><Relationship Id="rId92" Type="http://schemas.openxmlformats.org/officeDocument/2006/relationships/hyperlink" Target="..\CERTIFICACIONES%20SAMFOR\CERTIFICACIONES%20ACTUALES\CERTIFICADOS%20DE%20MAQUINARIA%20PESADA\QUINTA%20RUEDA%20SVP-209.pdf" TargetMode="External"/><Relationship Id="rId213" Type="http://schemas.openxmlformats.org/officeDocument/2006/relationships/hyperlink" Target="..\CERTIFICACIONES%20SAMFOR\CERTIFICACIONES%20ACTUALES\CERTIFICADOS%20DE%20EQUIPOS\DETECTOR%20DE%20ALTA%20TENSIO&#769;N%202160194.pdf" TargetMode="External"/><Relationship Id="rId234" Type="http://schemas.openxmlformats.org/officeDocument/2006/relationships/hyperlink" Target="..\CERTIFICACIONES%20SAMFOR\CERTIFICACIONES%20ACTUALES\CERTIFICADOS%20DE%20MAQUINARIA%20PESADA\DOLLY%20IZAMIENTO%20SKID%20PTB%20GD02%20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\CERTIFICACIONES%20SAMFOR\CERTIFICACIONES%20ACTUALES\CERTIFICADOS%20DE%20EQUIPOS\GRUA%20MANUAL%20VB0001.pdf" TargetMode="External"/><Relationship Id="rId255" Type="http://schemas.openxmlformats.org/officeDocument/2006/relationships/hyperlink" Target="..\CERTIFICACIONES%20SAMFOR\CERTIFICACIONES%20ACTUALES\CERTIFICADOS%20DE%20EQUIPOS\MULTIMETRO%2010510101.PDF" TargetMode="External"/><Relationship Id="rId276" Type="http://schemas.openxmlformats.org/officeDocument/2006/relationships/hyperlink" Target="../CERTIFICACIONES%20SAMFOR/CERTIFICACIONES%20ACTUALES/CERTIFICADOS%20DE%20HERRAMIENTAS/CA&#771;NCAMOS%20BG01%20ENCLOSURE%20TURBINA.pdf" TargetMode="External"/><Relationship Id="rId297" Type="http://schemas.openxmlformats.org/officeDocument/2006/relationships/hyperlink" Target="../CERTIFICACIONES%20SAMFOR/CERTIFICACIONES%20ACTUALES/CERTIFICADOS%20DE%20EQUIPOS/MAQUINA%20DE%20SOLDAR%20U1990203461.pdf" TargetMode="External"/><Relationship Id="rId40" Type="http://schemas.openxmlformats.org/officeDocument/2006/relationships/hyperlink" Target="..\CERTIFICACIONES%20SAMFOR\CERTIFICACIONES%20ACTUALES\CERTIFICADOS%20EXTINTORES\Certificado%20de%20C02%20BG-1.pdf" TargetMode="External"/><Relationship Id="rId115" Type="http://schemas.openxmlformats.org/officeDocument/2006/relationships/hyperlink" Target="..\CERTIFICACIONES%20SAMFOR\CERTIFICACIONES%20ACTUALES\CERTIFICADOS%20DE%20HERRAMIENTAS\ESLINGA%20SINTETICA%20SF-ESL-035,036,038%20.pdf" TargetMode="External"/><Relationship Id="rId136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C0010%20F0041F.PDF" TargetMode="External"/><Relationship Id="rId157" Type="http://schemas.openxmlformats.org/officeDocument/2006/relationships/hyperlink" Target="..\CERTIFICACIONES%20SAMFOR\CERTIFICACIONES%20ACTUALES\CERTIFICADOS%20EXTINTORES\EXTINTOR%20PTBG-004.pdf" TargetMode="External"/><Relationship Id="rId178" Type="http://schemas.openxmlformats.org/officeDocument/2006/relationships/hyperlink" Target="..\CERTIFICACIONES%20SAMFOR\CERTIFICACIONES%20ACTUALES\CERTIFICADOS%20EXTINTORES\EXTINTOR%20PTBG-026.pdf" TargetMode="External"/><Relationship Id="rId301" Type="http://schemas.openxmlformats.org/officeDocument/2006/relationships/hyperlink" Target="../CERTIFICACIONES%20SAMFOR/CERTIFICACIONES%20ACTUALES/CERTIFICADOS%20DE%20HERRAMIENTAS/ARNES%20Y%20CABO%20DE%20VIDA%20%20SF-ARN-055.pdf" TargetMode="External"/><Relationship Id="rId322" Type="http://schemas.openxmlformats.org/officeDocument/2006/relationships/hyperlink" Target="https://verificacion-equipos.netlify.app/v/VP2SED9MFqYK" TargetMode="External"/><Relationship Id="rId61" Type="http://schemas.openxmlformats.org/officeDocument/2006/relationships/hyperlink" Target="..\CERTIFICACIONES%20SAMFOR\CERTIFICACIONES%20ACTUALES\CERTIFICADOS%20EXTINTORES\Bombonas%20CO2%20Bg2.pdf" TargetMode="External"/><Relationship Id="rId82" Type="http://schemas.openxmlformats.org/officeDocument/2006/relationships/hyperlink" Target="..\CERTIFICACIONES%20SAMFOR\CERTIFICACIONES%20ACTUALES\CERTIFICADOS%20DE%20HERRAMIENTAS\VALVULAS%20DE%20SEGURIDAD%20BG-2\CERTIFICADO%20SF-624.pdf" TargetMode="External"/><Relationship Id="rId199" Type="http://schemas.openxmlformats.org/officeDocument/2006/relationships/hyperlink" Target="..\CERTIFICACIONES%20SAMFOR\CERTIFICACIONES%20ACTUALES\CERTIFICADOS%20DE%20EQUIPOS\BOMBA%20PARA%20PRUEBA%20HIDR&#193;ULICA%206559033MV.pdf" TargetMode="External"/><Relationship Id="rId203" Type="http://schemas.openxmlformats.org/officeDocument/2006/relationships/hyperlink" Target="..\CERTIFICACIONES%20SAMFOR\CERTIFICACIONES%20ACTUALES\CERTIFICADOS%20DE%20EQUIPOS\PINZA%20AMPERIMETRICA%2065340132WS%20UCS-E-0079-25.pdf" TargetMode="External"/><Relationship Id="rId19" Type="http://schemas.openxmlformats.org/officeDocument/2006/relationships/hyperlink" Target="..\CERTIFICACIONES%20SAMFOR\CERTIFICACIONES%20ACTUALES\CERTIFICADOS%20DE%20EQUIPOS\MODEM%20HART%20DE%20BAJA%20ENERG&#205;A%20BLUETOOTH%201230155.PDF" TargetMode="External"/><Relationship Id="rId224" Type="http://schemas.openxmlformats.org/officeDocument/2006/relationships/hyperlink" Target="../CERTIFICACIONES%20SAMFOR/CERTIFICACIONES%20ACTUALES/CERTIFICADOS%20DE%20HERRAMIENTAS/ARNES%20Y%20CABO%20DE%20VIDA%20SF-ARN-028.pdf" TargetMode="External"/><Relationship Id="rId245" Type="http://schemas.openxmlformats.org/officeDocument/2006/relationships/hyperlink" Target="..\CERTIFICACIONES%20SAMFOR\CERTIFICACIONES%20ACTUALES\CERTIFICADOS%20EXTINTORES\EXTINTOR%20PTBG-005.pdf" TargetMode="External"/><Relationship Id="rId266" Type="http://schemas.openxmlformats.org/officeDocument/2006/relationships/hyperlink" Target="..\CERTIFICACIONES%20SAMFOR\CERTIFICACIONES%20ACTUALES\CERTIFICADOS%20DE%20EQUIPOS\TORQUIMETRO%201-2%20H5%205240202447.pdf" TargetMode="External"/><Relationship Id="rId287" Type="http://schemas.openxmlformats.org/officeDocument/2006/relationships/hyperlink" Target="..\CERTIFICACIONES%20SAMFOR\CERTIFICACIONES%20ACTUALES\CERTIFICADOS%20DE%20HERRAMIENTAS\GRILLETES%201-2%20INCH%204%20UNIDADES%20.pdf" TargetMode="External"/><Relationship Id="rId30" Type="http://schemas.openxmlformats.org/officeDocument/2006/relationships/hyperlink" Target="..\CERTIFICACIONES%20SAMFOR\CERTIFICACIONES%20ACTUALES\CERTIFICADOS%20DE%20EQUIPOS\GRUA%20MANUAL%20VB0002%20.pdf" TargetMode="External"/><Relationship Id="rId105" Type="http://schemas.openxmlformats.org/officeDocument/2006/relationships/hyperlink" Target="..\CERTIFICACIONES%20SAMFOR\CERTIFICACIONES%20ACTUALES\CERTIFICADOS%20DE%20HERRAMIENTAS\ESLINGAS%20DE%20IZAMIENTO%204,7&#8221;%20X%20120%20MM%20SF-E.pdf" TargetMode="External"/><Relationship Id="rId126" Type="http://schemas.openxmlformats.org/officeDocument/2006/relationships/hyperlink" Target="..\CERTIFICACIONES%20SAMFOR\CERTIFICACIONES%20ACTUALES\CERTIFICADOS%20DE%20MAQUINARIA%20PESADA\MONORRIEL%20SF-MON-002%20.pdf" TargetMode="External"/><Relationship Id="rId147" Type="http://schemas.openxmlformats.org/officeDocument/2006/relationships/hyperlink" Target="..\CERTIFICACIONES%20SAMFOR\CERTIFICACIONES%20ACTUALES\CERTIFICADOS%20DE%20HERRAMIENTAS\ARNES%20Y%20CABO%20DE%20VIDA%20023.pdf" TargetMode="External"/><Relationship Id="rId168" Type="http://schemas.openxmlformats.org/officeDocument/2006/relationships/hyperlink" Target="..\CERTIFICACIONES%20SAMFOR\CERTIFICACIONES%20ACTUALES\CERTIFICADOS%20EXTINTORES\EXTINTOR%20PTBG-016.pdf" TargetMode="External"/><Relationship Id="rId312" Type="http://schemas.openxmlformats.org/officeDocument/2006/relationships/hyperlink" Target="../CERTIFICACIONES%20SAMFOR/CERTIFICACIONES%20ACTUALES/CERTIFICADOS%20DE%20EQUIPOS/TORQUIMETRO%20DE%2014%20SF-T-01%20353992301%20PITTSBURGH%20PRO.PDF" TargetMode="External"/><Relationship Id="rId51" Type="http://schemas.openxmlformats.org/officeDocument/2006/relationships/hyperlink" Target="..\CERTIFICACIONES%20SAMFOR\CERTIFICACIONES%20ACTUALES\CERTIFICADOS%20EXTINTORES\Bombonas%20CO2%20Bg2.pdf" TargetMode="External"/><Relationship Id="rId72" Type="http://schemas.openxmlformats.org/officeDocument/2006/relationships/hyperlink" Target="..\CERTIFICACIONES%20SAMFOR\CERTIFICACIONES%20ACTUALES\CERTIFICADOS%20DE%20HERRAMIENTAS\ESLINGA%20DE%20IZAMIENTO%20DE%20CARGA2%20X%202%20MTSNARANJA%20092507%20092508%20092509%20092510.pdf" TargetMode="External"/><Relationship Id="rId93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189" Type="http://schemas.openxmlformats.org/officeDocument/2006/relationships/hyperlink" Target="..\CERTIFICACIONES%20SAMFOR\CERTIFICACIONES%20ACTUALES\CERTIFICADOS%20EXTINTORES\EXTINTOR%20PTBG-001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\CERTIFICACIONES%20SAMFOR\CERTIFICACIONES%20ACTUALES\CERTIFICADOS%20DE%20EQUIPOS\MEDIDOR%20DE%20CALIDAD%20DE%20ENERGI&#769;A%20%2067773901.pdf" TargetMode="External"/><Relationship Id="rId235" Type="http://schemas.openxmlformats.org/officeDocument/2006/relationships/hyperlink" Target="..\CERTIFICACIONES%20SAMFOR\CERTIFICACIONES%20ACTUALES\CERTIFICADOS%20DE%20MAQUINARIA%20PESADA\EXCAVADORA%20SMP-466%20.pdf" TargetMode="External"/><Relationship Id="rId256" Type="http://schemas.openxmlformats.org/officeDocument/2006/relationships/hyperlink" Target="..\CERTIFICACIONES%20SAMFOR\CERTIFICACIONES%20ACTUALES\CERTIFICADOS%20DE%20MAQUINARIA%20PESADA\GR&#218;A%20ARTICULADA%203641%20SAMFOR.pdf" TargetMode="External"/><Relationship Id="rId277" Type="http://schemas.openxmlformats.org/officeDocument/2006/relationships/hyperlink" Target="../CERTIFICACIONES%20SAMFOR/CERTIFICACIONES%20ACTUALES/CERTIFICADOS%20DE%20HERRAMIENTAS/CA&#771;NCAMOS%20BG02%20ENCLOSURE%20TURBINA.pdf" TargetMode="External"/><Relationship Id="rId298" Type="http://schemas.openxmlformats.org/officeDocument/2006/relationships/hyperlink" Target="../CERTIFICACIONES%20SAMFOR/CERTIFICACIONES%20ACTUALES/CERTIFICADOS%20DE%20HERRAMIENTAS/ARNES%20Y%20CABO%20DE%20VIDA%20%20SF-ARN-052.pdf" TargetMode="External"/><Relationship Id="rId116" Type="http://schemas.openxmlformats.org/officeDocument/2006/relationships/hyperlink" Target="..\CERTIFICACIONES%20SAMFOR\CERTIFICACIONES%20ACTUALES\CERTIFICADOS%20DE%20HERRAMIENTAS\ESLINGA%20SINTETICA%20SF-ESL-043%20SAMFOR%20.pdf" TargetMode="External"/><Relationship Id="rId137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1776742%201626438.pdf" TargetMode="External"/><Relationship Id="rId158" Type="http://schemas.openxmlformats.org/officeDocument/2006/relationships/hyperlink" Target="..\CERTIFICACIONES%20SAMFOR\CERTIFICACIONES%20ACTUALES\CERTIFICADOS%20EXTINTORES\EXTINTOR%20PTBG-006.pdf" TargetMode="External"/><Relationship Id="rId302" Type="http://schemas.openxmlformats.org/officeDocument/2006/relationships/hyperlink" Target="../CERTIFICACIONES%20SAMFOR/CERTIFICACIONES%20ACTUALES/CERTIFICADOS%20DE%20HERRAMIENTAS/ARNES%20Y%20CABO%20DE%20VIDA%20%20SF-ARN-056.pdf" TargetMode="External"/><Relationship Id="rId323" Type="http://schemas.openxmlformats.org/officeDocument/2006/relationships/hyperlink" Target="https://verificacion-equipos.netlify.app/v/HgxnzkEyrEjv" TargetMode="External"/><Relationship Id="rId20" Type="http://schemas.openxmlformats.org/officeDocument/2006/relationships/hyperlink" Target="..\CERTIFICACIONES%20SAMFOR\CERTIFICACIONES%20ACTUALES\CERTIFICADOS%20DE%20EQUIPOS\MEGGER%20Y%20MULTIMETRO%20110870SADV.pdf" TargetMode="External"/><Relationship Id="rId41" Type="http://schemas.openxmlformats.org/officeDocument/2006/relationships/hyperlink" Target="..\CERTIFICACIONES%20SAMFOR\CERTIFICACIONES%20ACTUALES\CERTIFICADOS%20EXTINTORES\Certificado%20de%20C02%20BG-1.pdf" TargetMode="External"/><Relationship Id="rId62" Type="http://schemas.openxmlformats.org/officeDocument/2006/relationships/hyperlink" Target="..\CERTIFICACIONES%20SAMFOR\CERTIFICACIONES%20ACTUALES\CERTIFICADOS%20EXTINTORES\Bombonas%20CO2%20Bg2.pdf" TargetMode="External"/><Relationship Id="rId83" Type="http://schemas.openxmlformats.org/officeDocument/2006/relationships/hyperlink" Target="..\CERTIFICACIONES%20SAMFOR\CERTIFICACIONES%20ACTUALES\CERTIFICADOS%20DE%20MAQUINARIA%20PESADA\BARRA%20IZAMIENTO%20PTBG-01%20PETROBOSCAN.pdf" TargetMode="External"/><Relationship Id="rId179" Type="http://schemas.openxmlformats.org/officeDocument/2006/relationships/hyperlink" Target="..\CERTIFICACIONES%20SAMFOR\CERTIFICACIONES%20ACTUALES\CERTIFICADOS%20EXTINTORES\EXTINTOR%20PTBG-027.pdf" TargetMode="External"/><Relationship Id="rId190" Type="http://schemas.openxmlformats.org/officeDocument/2006/relationships/hyperlink" Target="..\CERTIFICACIONES%20SAMFOR\CERTIFICACIONES%20ACTUALES\CERTIFICADOS%20DE%20MAQUINARIA%20PESADA\MONTACARGAS%204FDK160-50274.pdf" TargetMode="External"/><Relationship Id="rId204" Type="http://schemas.openxmlformats.org/officeDocument/2006/relationships/hyperlink" Target="..\CERTIFICACIONES%20SAMFOR\CERTIFICACIONES%20ACTUALES\CERTIFICADOS%20DE%20EQUIPOS\PINZA%20AMPERIMETRICA%2062500107.pdf" TargetMode="External"/><Relationship Id="rId225" Type="http://schemas.openxmlformats.org/officeDocument/2006/relationships/hyperlink" Target="..\CERTIFICACIONES%20SAMFOR\CERTIFICACIONES%20ACTUALES\CERTIFICADOS%20DE%20HERRAMIENTAS\ESLINGA%20SINTETICA%20SF-ESL-029,%20030.pdf" TargetMode="External"/><Relationship Id="rId246" Type="http://schemas.openxmlformats.org/officeDocument/2006/relationships/hyperlink" Target="..\CERTIFICACIONES%20SAMFOR\CERTIFICACIONES%20ACTUALES\CERTIFICADOS%20DE%20HERRAMIENTAS\SF-744%20CERTIFICADO%20COMPUERTA.pdf" TargetMode="External"/><Relationship Id="rId267" Type="http://schemas.openxmlformats.org/officeDocument/2006/relationships/hyperlink" Target="..\CERTIFICACIONES%20SAMFOR\CERTIFICACIONES%20ACTUALES\CERTIFICADOS%20DE%20EQUIPOS\TORQUIMETRO%201-2%20L5%205240301607.pdf" TargetMode="External"/><Relationship Id="rId288" Type="http://schemas.openxmlformats.org/officeDocument/2006/relationships/hyperlink" Target="../CERTIFICACIONES%20SAMFOR/CERTIFICACIONES%20ACTUALES/CERTIFICADOS%20DE%20HERRAMIENTAS/GRILLETES%203-8%20INCH%204%20UNIDADES.pdf" TargetMode="External"/><Relationship Id="rId106" Type="http://schemas.openxmlformats.org/officeDocument/2006/relationships/hyperlink" Target="..\CERTIFICACIONES%20SAMFOR\CERTIFICACIONES%20ACTUALES\CERTIFICADOS%20DE%20EQUIPOS\MAQUINA%20DE%20SOLDAR%20ELECTRICA%2012F88673622100391480009.pdf" TargetMode="External"/><Relationship Id="rId127" Type="http://schemas.openxmlformats.org/officeDocument/2006/relationships/hyperlink" Target="..\CERTIFICACIONES%20SAMFOR\CERTIFICACIONES%20OBSOLETAS\CERTIFICADOS%20DE%20HERRAMIENTAS\ESLINGAS%20NUEVAS%20092503%20092504%20092505%20092506.PDF" TargetMode="External"/><Relationship Id="rId313" Type="http://schemas.openxmlformats.org/officeDocument/2006/relationships/hyperlink" Target="../CERTIFICACIONES%20SAMFOR/CERTIFICACIONES%20ACTUALES/CERTIFICADOS%20DE%20EQUIPOS/TORQUIMETRO%201-4%20H5%205040202197.pdf" TargetMode="External"/><Relationship Id="rId10" Type="http://schemas.openxmlformats.org/officeDocument/2006/relationships/hyperlink" Target="..\CERTIFICACIONES%20SAMFOR\CERTIFICACIONES%20ACTUALES\CERTIFICADOS%20DE%20EQUIPOS\COMUNICADOR%20DE%20CAMPO%204540536.pdf" TargetMode="External"/><Relationship Id="rId31" Type="http://schemas.openxmlformats.org/officeDocument/2006/relationships/hyperlink" Target="..\CERTIFICACIONES%20SAMFOR\CERTIFICACIONES%20ACTUALES\CERTIFICADOS%20DE%20EQUIPOS\ROTAMETRO%20D12301796.pdf" TargetMode="External"/><Relationship Id="rId52" Type="http://schemas.openxmlformats.org/officeDocument/2006/relationships/hyperlink" Target="..\CERTIFICACIONES%20SAMFOR\CERTIFICACIONES%20ACTUALES\CERTIFICADOS%20EXTINTORES\Bombonas%20CO2%20Bg2.pdf" TargetMode="External"/><Relationship Id="rId73" Type="http://schemas.openxmlformats.org/officeDocument/2006/relationships/hyperlink" Target="..\CERTIFICACIONES%20SAMFOR\CERTIFICACIONES%20ACTUALES\CERTIFICADOS%20DE%20HERRAMIENTAS\ESLINGA_POLIESTER_ALTA_TENACIDAD_(AMARRILLO)9CMX_3MTS9CM_X_1MTS_162418_162425.pdf" TargetMode="External"/><Relationship Id="rId94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148" Type="http://schemas.openxmlformats.org/officeDocument/2006/relationships/hyperlink" Target="..\CERTIFICACIONES%20SAMFOR\CERTIFICACIONES%20ACTUALES\CERTIFICADOS%20DE%20HERRAMIENTAS\ARNES%20Y%20CABO%20DE%20VIDA%20024.pdf" TargetMode="External"/><Relationship Id="rId169" Type="http://schemas.openxmlformats.org/officeDocument/2006/relationships/hyperlink" Target="..\CERTIFICACIONES%20SAMFOR\CERTIFICACIONES%20ACTUALES\CERTIFICADOS%20EXTINTORES\EXTINTOR%20PTBG-017.pdf" TargetMode="External"/><Relationship Id="rId4" Type="http://schemas.openxmlformats.org/officeDocument/2006/relationships/hyperlink" Target="..\CERTIFICACIONES%20SAMFOR\CERTIFICACIONES%20ACTUALES\CERTIFICADOS%20DE%20EQUIPOS\ALINEADOR%20LASER.PDF" TargetMode="External"/><Relationship Id="rId180" Type="http://schemas.openxmlformats.org/officeDocument/2006/relationships/hyperlink" Target="..\CERTIFICACIONES%20SAMFOR\CERTIFICACIONES%20ACTUALES\CERTIFICADOS%20EXTINTORES\EXTINTOR%20PTBG-028.pdf" TargetMode="External"/><Relationship Id="rId215" Type="http://schemas.openxmlformats.org/officeDocument/2006/relationships/hyperlink" Target="..\CERTIFICACIONES%20SAMFOR\CERTIFICACIONES%20ACTUALES\CERTIFICADOS%20DE%20EQUIPOS\PINZA%20AMPERIMETRICA%2065960628MV%20SF-MED-052.pdf" TargetMode="External"/><Relationship Id="rId236" Type="http://schemas.openxmlformats.org/officeDocument/2006/relationships/hyperlink" Target="..\CERTIFICACIONES%20SAMFOR\CERTIFICACIONES%20ACTUALES\CERTIFICADOS%20DE%20HERRAMIENTAS\GRILLETES%20%207-8%20INCH%204%20UNIDADES.pdf" TargetMode="External"/><Relationship Id="rId257" Type="http://schemas.openxmlformats.org/officeDocument/2006/relationships/hyperlink" Target="../CERTIFICACIONES%20SAMFOR/CERTIFICACIONES%20ACTUALES/CERTIFICADOS%20DE%20HERRAMIENTAS/ARN&#201;S%20Y%20CABO%20DE%20VIDA%20003%20004.PDF" TargetMode="External"/><Relationship Id="rId278" Type="http://schemas.openxmlformats.org/officeDocument/2006/relationships/hyperlink" Target="..\CERTIFICACIONES%20SAMFOR\CERTIFICACIONES%20ACTUALES\CERTIFICADOS%20DE%20HERRAMIENTAS\ESLINGA%201&#8221;%20X%201m%20482439-482440%20SF-ESL-082-083.pdf" TargetMode="External"/><Relationship Id="rId303" Type="http://schemas.openxmlformats.org/officeDocument/2006/relationships/hyperlink" Target="../CERTIFICACIONES%20SAMFOR/CERTIFICACIONES%20ACTUALES/CERTIFICADOS%20DE%20HERRAMIENTAS/ARNES%20Y%20CABO%20DE%20VIDA%20%20SF-ARN-057.pdf" TargetMode="External"/><Relationship Id="rId42" Type="http://schemas.openxmlformats.org/officeDocument/2006/relationships/hyperlink" Target="..\CERTIFICACIONES%20SAMFOR\CERTIFICACIONES%20ACTUALES\CERTIFICADOS%20EXTINTORES\Certificado%20de%20C02%20BG-1.pdf" TargetMode="External"/><Relationship Id="rId84" Type="http://schemas.openxmlformats.org/officeDocument/2006/relationships/hyperlink" Target="..\CERTIFICACIONES%20SAMFOR\CERTIFICACIONES%20ACTUALES\CERTIFICADOS%20DE%20MAQUINARIA%20PESADA\PIN%20REY%20BATEA%2050t_A90AD7L%20SAMFOR.pdf" TargetMode="External"/><Relationship Id="rId138" Type="http://schemas.openxmlformats.org/officeDocument/2006/relationships/hyperlink" Target="..\CERTIFICACIONES%20SAMFOR\CERTIFICACIONES%20ACTUALES\CERTIFICADOS%20DE%20EQUIPOS\GUANTES%20%20DIELECTRICO,%20CLASE%20O%20TIPO%20I%20%204095607A.pdf" TargetMode="External"/><Relationship Id="rId191" Type="http://schemas.openxmlformats.org/officeDocument/2006/relationships/hyperlink" Target="..\CERTIFICACIONES%20SAMFOR\CERTIFICACIONES%20ACTUALES\CERTIFICADOS%20DE%20HERRAMIENTAS\ARNES%20Y%20CABO%20DE%20VIDA%20029.pdf" TargetMode="External"/><Relationship Id="rId205" Type="http://schemas.openxmlformats.org/officeDocument/2006/relationships/hyperlink" Target="..\CERTIFICACIONES%20SAMFOR\CERTIFICACIONES%20ACTUALES\CERTIFICADOS%20DE%20EQUIPOS\Pinza%20Amperimetrica%2064672299MV.pdf" TargetMode="External"/><Relationship Id="rId247" Type="http://schemas.openxmlformats.org/officeDocument/2006/relationships/hyperlink" Target="..\CERTIFICACIONES%20SAMFOR\CERTIFICACIONES%20ACTUALES\CERTIFICADOS%20DE%20HERRAMIENTAS\SF-741%20CERTIFICADO%20COMPUERTA.pdf" TargetMode="External"/><Relationship Id="rId107" Type="http://schemas.openxmlformats.org/officeDocument/2006/relationships/hyperlink" Target="..\CERTIFICACIONES%20SAMFOR\CERTIFICACIONES%20ACTUALES\CERTIFICADOS%20DE%20EQUIPOS\MAQUINA%20DE%20SOLDAR%20ELECTRICA%2012F88673622100391480011.pdf" TargetMode="External"/><Relationship Id="rId289" Type="http://schemas.openxmlformats.org/officeDocument/2006/relationships/hyperlink" Target="../CERTIFICACIONES%20SAMFOR/CERTIFICACIONES%20ACTUALES/CERTIFICADOS%20DE%20HERRAMIENTAS/CABO%20DE%20VIDA%201,98%20M%20RECTRACTIL.pdf" TargetMode="External"/><Relationship Id="rId11" Type="http://schemas.openxmlformats.org/officeDocument/2006/relationships/hyperlink" Target="..\CERTIFICACIONES%20SAMFOR\CERTIFICACIONES%20ACTUALES\CERTIFICADOS%20DE%20EQUIPOS\DETECTOR%20MULTIGAS%20ARXM%200500.PDF" TargetMode="External"/><Relationship Id="rId53" Type="http://schemas.openxmlformats.org/officeDocument/2006/relationships/hyperlink" Target="..\CERTIFICACIONES%20SAMFOR\CERTIFICACIONES%20ACTUALES\CERTIFICADOS%20EXTINTORES\Bombonas%20CO2%20Bg2.pdf" TargetMode="External"/><Relationship Id="rId149" Type="http://schemas.openxmlformats.org/officeDocument/2006/relationships/hyperlink" Target="..\CERTIFICACIONES%20SAMFOR\CERTIFICACIONES%20ACTUALES\CERTIFICADOS%20DE%20HERRAMIENTAS\ARNES%20Y%20CABO%20DE%20VIDA%20025.pdf" TargetMode="External"/><Relationship Id="rId314" Type="http://schemas.openxmlformats.org/officeDocument/2006/relationships/hyperlink" Target="../CERTIFICACIONES%20SAMFOR/CERTIFICACIONES%20ACTUALES/CERTIFICADOS%20DE%20EQUIPOS/TORQUIMETRO%201-4%20H5%205040202191.pdf" TargetMode="External"/><Relationship Id="rId95" Type="http://schemas.openxmlformats.org/officeDocument/2006/relationships/hyperlink" Target="..\CERTIFICACIONES%20SAMFOR\CERTIFICACIONES%20ACTUALES\CERTIFICADOS%20DE%20HERRAMIENTAS\ESLINGA%20SINTETICA%204%20x%206m%20(1)%20SF-ESL-066.pdf" TargetMode="External"/><Relationship Id="rId160" Type="http://schemas.openxmlformats.org/officeDocument/2006/relationships/hyperlink" Target="..\CERTIFICACIONES%20SAMFOR\CERTIFICACIONES%20ACTUALES\CERTIFICADOS%20EXTINTORES\EXTINTOR%20PTBG-008.pdf" TargetMode="External"/><Relationship Id="rId216" Type="http://schemas.openxmlformats.org/officeDocument/2006/relationships/hyperlink" Target="..\CERTIFICACIONES%20SAMFOR\CERTIFICACIONES%20ACTUALES\CERTIFICADOS%20DE%20HERRAMIENTAS\ESLINGA%20SINT&#201;TICA%20SF-ESL-080.pdf" TargetMode="External"/><Relationship Id="rId258" Type="http://schemas.openxmlformats.org/officeDocument/2006/relationships/hyperlink" Target="..\CERTIFICACIONES%20SAMFOR\CERTIFICACIONES%20ACTUALES\CERTIFICADOS%20DE%20EQUIPOS\SF6-GAS%20S&#218;PER%20LIQUEFACTION%20SYSTEM%20L2370X.pdf" TargetMode="External"/><Relationship Id="rId22" Type="http://schemas.openxmlformats.org/officeDocument/2006/relationships/hyperlink" Target="..\CERTIFICACIONES%20SAMFOR\CERTIFICACIONES%20ACTUALES\CERTIFICADOS%20DE%20EQUIPOS\MULTIMETRO%20DIGITAL%2062220102MV%20.pdf" TargetMode="External"/><Relationship Id="rId64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18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325" Type="http://schemas.openxmlformats.org/officeDocument/2006/relationships/drawing" Target="../drawings/drawing1.xml"/><Relationship Id="rId171" Type="http://schemas.openxmlformats.org/officeDocument/2006/relationships/hyperlink" Target="..\CERTIFICACIONES%20SAMFOR\CERTIFICACIONES%20ACTUALES\CERTIFICADOS%20EXTINTORES\EXTINTOR%20PTBG-019.pdf" TargetMode="External"/><Relationship Id="rId227" Type="http://schemas.openxmlformats.org/officeDocument/2006/relationships/hyperlink" Target="../CERTIFICACIONES%20SAMFOR/CERTIFICACIONES%20ACTUALES/CERTIFICADOS%20DE%20HERRAMIENTAS/ESLINGA%20DE%20ACERO%20SF-ESLA-003AB.pdf" TargetMode="External"/><Relationship Id="rId269" Type="http://schemas.openxmlformats.org/officeDocument/2006/relationships/hyperlink" Target="..\CERTIFICACIONES%20SAMFOR\CERTIFICACIONES%20ACTUALES\CERTIFICADOS%20DE%20EQUIPOS\TORQUIMETRO%203-8%20K5%205140200046.pdf" TargetMode="External"/><Relationship Id="rId33" Type="http://schemas.openxmlformats.org/officeDocument/2006/relationships/hyperlink" Target="..\CERTIFICACIONES%20SAMFOR\CERTIFICACIONES%20ACTUALES\CERTIFICADOS%20DE%20EQUIPOS\ROTAMETRO%20D12301798.pdf" TargetMode="External"/><Relationship Id="rId129" Type="http://schemas.openxmlformats.org/officeDocument/2006/relationships/hyperlink" Target="..\CERTIFICACIONES%20SAMFOR\CERTIFICACIONES%20ACTUALES\CERTIFICADOS%20DE%20EQUIPOS\GUANTES%20DIELECTRICOS%20C2S10G0021F.pdf" TargetMode="External"/><Relationship Id="rId280" Type="http://schemas.openxmlformats.org/officeDocument/2006/relationships/hyperlink" Target="..\CERTIFICACIONES%20SAMFOR\CERTIFICACIONES%20ACTUALES\CERTIFICADOS%20DE%20HERRAMIENTAS\ESLINGAS%202,4&#8221;x2M%200023601-472535%20SF-ESL-084-085.pdf" TargetMode="External"/><Relationship Id="rId75" Type="http://schemas.openxmlformats.org/officeDocument/2006/relationships/hyperlink" Target="..\CERTIFICACIONES%20SAMFOR\CERTIFICACIONES%20ACTUALES\CERTIFICADOS%20DE%20HERRAMIENTAS\GRILLETES%20&#190;%20x%204&#190;t%20(2)_(2IJ-5HK-V51-V52-5EG)_10-2025.pdf" TargetMode="External"/><Relationship Id="rId140" Type="http://schemas.openxmlformats.org/officeDocument/2006/relationships/hyperlink" Target="..\CERTIFICACIONES%20SAMFOR\CERTIFICACIONES%20ACTUALES\CERTIFICADOS%20DE%20EQUIPOS\GUANTES%20DIELECTRICOS%204122575.pdf" TargetMode="External"/><Relationship Id="rId182" Type="http://schemas.openxmlformats.org/officeDocument/2006/relationships/hyperlink" Target="..\CERTIFICACIONES%20SAMFOR\CERTIFICACIONES%20ACTUALES\CERTIFICADOS%20EXTINTORES\EXTINTOR%20PTBG-030.pdf" TargetMode="External"/><Relationship Id="rId6" Type="http://schemas.openxmlformats.org/officeDocument/2006/relationships/hyperlink" Target="..\CERTIFICACIONES%20SAMFOR\CERTIFICACIONES%20ACTUALES\CERTIFICADOS%20DE%20EQUIPOS\CALIBRADOR%20DE%20TEMPERATURA%2040826.PDF" TargetMode="External"/><Relationship Id="rId238" Type="http://schemas.openxmlformats.org/officeDocument/2006/relationships/hyperlink" Target="..\CERTIFICACIONES%20SAMFOR\CERTIFICACIONES%20ACTUALES\CERTIFICADOS%20DE%20HERRAMIENTAS\GRILLETES%205-8%204%20%20UNIDADES%20(LF-1,2,3,4).pdf" TargetMode="External"/><Relationship Id="rId291" Type="http://schemas.openxmlformats.org/officeDocument/2006/relationships/hyperlink" Target="../CERTIFICACIONES%20SAMFOR/CERTIFICACIONES%20ACTUALES/CERTIFICADOS%20DE%20HERRAMIENTAS/ESLINGA%20DE%20ACERO%20SF-ESLA-006.pdf" TargetMode="External"/><Relationship Id="rId305" Type="http://schemas.openxmlformats.org/officeDocument/2006/relationships/hyperlink" Target="../CERTIFICACIONES%20SAMFOR/CERTIFICACIONES%20ACTUALES/CERTIFICADOS%20DE%20HERRAMIENTAS/ARNES%20Y%20CABO%20DE%20VIDA%20%20SF-ARN-059.pdf" TargetMode="External"/><Relationship Id="rId44" Type="http://schemas.openxmlformats.org/officeDocument/2006/relationships/hyperlink" Target="..\CERTIFICACIONES%20SAMFOR\CERTIFICACIONES%20ACTUALES\CERTIFICADOS%20EXTINTORES\Certificado%20de%20C02%20BG-1.pdf" TargetMode="External"/><Relationship Id="rId86" Type="http://schemas.openxmlformats.org/officeDocument/2006/relationships/hyperlink" Target="..\CERTIFICACIONES%20SAMFOR\CERTIFICACIONES%20ACTUALES\CERTIFICADOS%20DE%20MAQUINARIA%20PESADA\GR&#218;A%20PUENTE%20HLW25869%20PETROBOSCAN.pdf" TargetMode="External"/><Relationship Id="rId151" Type="http://schemas.openxmlformats.org/officeDocument/2006/relationships/hyperlink" Target="../CERTIFICACIONES%20SAMFOR/CERTIFICACIONES%20ACTUALES/CERTIFICADOS%20DE%20HERRAMIENTAS/ARNES%20(LINEA%20DE%20VIDA)%20SFLV01.pdf" TargetMode="External"/><Relationship Id="rId193" Type="http://schemas.openxmlformats.org/officeDocument/2006/relationships/hyperlink" Target="..\CERTIFICACIONES%20SAMFOR\CERTIFICACIONES%20ACTUALES\CERTIFICADOS%20DE%20EQUIPOS\BOMBA%20NEUMATICA%206549329.pdf" TargetMode="External"/><Relationship Id="rId207" Type="http://schemas.openxmlformats.org/officeDocument/2006/relationships/hyperlink" Target="..\CERTIFICACIONES%20SAMFOR\CERTIFICACIONES%20ACTUALES\CERTIFICADOS%20DE%20EQUIPOS\PINZA%20AMPERIMETRICA%2064011048WS%20UCS-E-0080-25.pdf" TargetMode="External"/><Relationship Id="rId249" Type="http://schemas.openxmlformats.org/officeDocument/2006/relationships/hyperlink" Target="..\CERTIFICACIONES%20SAMFOR\CERTIFICACIONES%20ACTUALES\CERTIFICADOS%20DE%20HERRAMIENTAS\SF-743%20CERTIFICADO%20COMPUERTA.pdf" TargetMode="External"/><Relationship Id="rId13" Type="http://schemas.openxmlformats.org/officeDocument/2006/relationships/hyperlink" Target="..\CERTIFICACIONES%20SAMFOR\CERTIFICACIONES%20ACTUALES\CERTIFICADOS%20DE%20EQUIPOS\DTX-1800%201665023.pdf" TargetMode="External"/><Relationship Id="rId109" Type="http://schemas.openxmlformats.org/officeDocument/2006/relationships/hyperlink" Target="../CERTIFICACIONES%20SAMFOR/CERTIFICACIONES%20ACTUALES/CERTIFICADOS%20DE%20HERRAMIENTAS/ESLINGA%20SINT&#201;TICA%20SF-ESL-078.PDF" TargetMode="External"/><Relationship Id="rId260" Type="http://schemas.openxmlformats.org/officeDocument/2006/relationships/hyperlink" Target="../CERTIFICACIONES%20SAMFOR/CERTIFICACIONES%20ACTUALES/CERTIFICADOS%20DE%20HERRAMIENTAS/ARNES%20Y%20CABO%20DE%20VIDA%20020-022.pdf" TargetMode="External"/><Relationship Id="rId316" Type="http://schemas.openxmlformats.org/officeDocument/2006/relationships/hyperlink" Target="https://verificacion-equipos.netlify.app/v/zmZk62oFEtKG" TargetMode="External"/><Relationship Id="rId55" Type="http://schemas.openxmlformats.org/officeDocument/2006/relationships/hyperlink" Target="..\CERTIFICACIONES%20SAMFOR\CERTIFICACIONES%20ACTUALES\CERTIFICADOS%20EXTINTORES\Bombonas%20CO2%20Bg2.pdf" TargetMode="External"/><Relationship Id="rId97" Type="http://schemas.openxmlformats.org/officeDocument/2006/relationships/hyperlink" Target="..\CERTIFICACIONES%20SAMFOR\CERTIFICACIONES%20ACTUALES\CERTIFICADOS%20DE%20EQUIPOS\GRUA%20MANUAL%20SF-POL-002%20.pdf" TargetMode="External"/><Relationship Id="rId120" Type="http://schemas.openxmlformats.org/officeDocument/2006/relationships/hyperlink" Target="../CERTIFICACIONES%20SAMFOR/CERTIFICACIONES%20ACTUALES/CERTIFICADOS%20DE%20HERRAMIENTAS/ESLINGA%20SINTETICA%20SF-ESL-017%20SAMFOR.pdf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CERTIFICACIONES%20SAMFOR/CERTIFICACIONES%20ACTUALES/CERTIFICADOS%20DE%20HERRAMIENTAS/ARNES%20Y%20CABO%20DE%20VIDA%20SF-ARN-028.pdf" TargetMode="External"/><Relationship Id="rId18" Type="http://schemas.openxmlformats.org/officeDocument/2006/relationships/hyperlink" Target="..\CERTIFICACIONES%20SAMFOR\CERTIFICACIONES%20ACTUALES\CERTIFICADOS%20DE%20HERRAMIENTAS\CABO%20DE%20VIDA%201M%20SF-ARN-031-040.pdf" TargetMode="External"/><Relationship Id="rId26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9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21" Type="http://schemas.openxmlformats.org/officeDocument/2006/relationships/hyperlink" Target="..\CERTIFICACIONES%20SAMFOR\CERTIFICACIONES%20ACTUALES\CERTIFICADOS%20DE%20HERRAMIENTAS\CABO%20DE%20VIDA%201M%20SF-ARN-031-040.pdf" TargetMode="External"/><Relationship Id="rId34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2" Type="http://schemas.openxmlformats.org/officeDocument/2006/relationships/hyperlink" Target="../CERTIFICACIONES%20SAMFOR/CERTIFICACIONES%20ACTUALES/CERTIFICADOS%20DE%20HERRAMIENTAS/ARNES%20Y%20CABO%20DE%20VIDA%20SF-ARN-026%20.pdf" TargetMode="External"/><Relationship Id="rId47" Type="http://schemas.openxmlformats.org/officeDocument/2006/relationships/hyperlink" Target="../CERTIFICACIONES%20SAMFOR/CERTIFICACIONES%20ACTUALES/CERTIFICADOS%20DE%20HERRAMIENTAS/ARNES%20Y%20CABO%20DE%20VIDA%20SF-ARN-026%20.pdf" TargetMode="External"/><Relationship Id="rId50" Type="http://schemas.openxmlformats.org/officeDocument/2006/relationships/vmlDrawing" Target="../drawings/vmlDrawing2.vml"/><Relationship Id="rId7" Type="http://schemas.openxmlformats.org/officeDocument/2006/relationships/hyperlink" Target="..\CERTIFICACIONES%20SAMFOR\CERTIFICACIONES%20ACTUALES\CERTIFICADOS%20DE%20HERRAMIENTAS\ARNES%20Y%20CABO%20DE%20VIDA%20021.pdf" TargetMode="External"/><Relationship Id="rId2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" Type="http://schemas.openxmlformats.org/officeDocument/2006/relationships/hyperlink" Target="..\CERTIFICACIONES%20SAMFOR\CERTIFICACIONES%20ACTUALES\CERTIFICADOS%20DE%20HERRAMIENTAS\CABO%20DE%20VIDA%201M%20SF-ARN-031-040.pdf" TargetMode="External"/><Relationship Id="rId29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11" Type="http://schemas.openxmlformats.org/officeDocument/2006/relationships/hyperlink" Target="../CERTIFICACIONES%20SAMFOR/CERTIFICACIONES%20ACTUALES/CERTIFICADOS%20DE%20HERRAMIENTAS/ARNES%20Y%20CABO%20DE%20VIDA%20SF-ARN-026%20.pdf" TargetMode="External"/><Relationship Id="rId24" Type="http://schemas.openxmlformats.org/officeDocument/2006/relationships/hyperlink" Target="..\CERTIFICACIONES%20SAMFOR\CERTIFICACIONES%20ACTUALES\CERTIFICADOS%20DE%20HERRAMIENTAS\CABO%20DE%20VIDA%201M%20SF-ARN-031-040.pdf" TargetMode="External"/><Relationship Id="rId32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0" Type="http://schemas.openxmlformats.org/officeDocument/2006/relationships/hyperlink" Target="../CERTIFICACIONES%20SAMFOR/CERTIFICACIONES%20ACTUALES/CERTIFICADOS%20DE%20HERRAMIENTAS/ARNES%20Y%20CABO%20DE%20VIDA%20SF-ARN-026%20.pdf" TargetMode="External"/><Relationship Id="rId45" Type="http://schemas.openxmlformats.org/officeDocument/2006/relationships/hyperlink" Target="../CERTIFICACIONES%20SAMFOR/CERTIFICACIONES%20ACTUALES/CERTIFICADOS%20DE%20HERRAMIENTAS/ARNES%20Y%20CABO%20DE%20VIDA%20SF-ARN-026%20.pdf" TargetMode="External"/><Relationship Id="rId5" Type="http://schemas.openxmlformats.org/officeDocument/2006/relationships/hyperlink" Target="..\CERTIFICACIONES%20SAMFOR\CERTIFICACIONES%20ACTUALES\CERTIFICADOS%20DE%20HERRAMIENTAS\ARNES%20Y%20CABO%20DE%20VIDA%20024.pdf" TargetMode="External"/><Relationship Id="rId1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23" Type="http://schemas.openxmlformats.org/officeDocument/2006/relationships/hyperlink" Target="..\CERTIFICACIONES%20SAMFOR\CERTIFICACIONES%20ACTUALES\CERTIFICADOS%20DE%20HERRAMIENTAS\CABO%20DE%20VIDA%201M%20SF-ARN-031-040.pdf" TargetMode="External"/><Relationship Id="rId28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6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9" Type="http://schemas.openxmlformats.org/officeDocument/2006/relationships/drawing" Target="../drawings/drawing2.xml"/><Relationship Id="rId10" Type="http://schemas.openxmlformats.org/officeDocument/2006/relationships/hyperlink" Target="../CERTIFICACIONES%20SAMFOR/CERTIFICACIONES%20ACTUALES/CERTIFICADOS%20DE%20HERRAMIENTAS/ARNES%20Y%20CABO%20DE%20VIDA%20030.pdf" TargetMode="External"/><Relationship Id="rId19" Type="http://schemas.openxmlformats.org/officeDocument/2006/relationships/hyperlink" Target="..\CERTIFICACIONES%20SAMFOR\CERTIFICACIONES%20ACTUALES\CERTIFICADOS%20DE%20HERRAMIENTAS\CABO%20DE%20VIDA%201M%20SF-ARN-031-040.pdf" TargetMode="External"/><Relationship Id="rId31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44" Type="http://schemas.openxmlformats.org/officeDocument/2006/relationships/hyperlink" Target="../CERTIFICACIONES%20SAMFOR/CERTIFICACIONES%20ACTUALES/CERTIFICADOS%20DE%20HERRAMIENTAS/ARNES%20Y%20CABO%20DE%20VIDA%20SF-ARN-026%20.pdf" TargetMode="External"/><Relationship Id="rId52" Type="http://schemas.openxmlformats.org/officeDocument/2006/relationships/comments" Target="../comments2.xml"/><Relationship Id="rId4" Type="http://schemas.openxmlformats.org/officeDocument/2006/relationships/hyperlink" Target="..\CERTIFICACIONES%20SAMFOR\CERTIFICACIONES%20ACTUALES\CERTIFICADOS%20DE%20HERRAMIENTAS\ARNES%20Y%20CABO%20DE%20VIDA%20023.pdf" TargetMode="External"/><Relationship Id="rId9" Type="http://schemas.openxmlformats.org/officeDocument/2006/relationships/hyperlink" Target="..\CERTIFICACIONES%20SAMFOR\CERTIFICACIONES%20ACTUALES\CERTIFICADOS%20DE%20HERRAMIENTAS\ARNES%20Y%20CABO%20DE%20VIDA%20029.pdf" TargetMode="External"/><Relationship Id="rId14" Type="http://schemas.openxmlformats.org/officeDocument/2006/relationships/hyperlink" Target="..\CERTIFICACIONES%20SAMFOR\CERTIFICACIONES%20ACTUALES\CERTIFICADOS%20DE%20HERRAMIENTAS\CABO%20DE%20VIDA%201M%20SF-ARN-031-040.pdf" TargetMode="External"/><Relationship Id="rId22" Type="http://schemas.openxmlformats.org/officeDocument/2006/relationships/hyperlink" Target="..\CERTIFICACIONES%20SAMFOR\CERTIFICACIONES%20ACTUALES\CERTIFICADOS%20DE%20HERRAMIENTAS\CABO%20DE%20VIDA%201M%20SF-ARN-031-040.pdf" TargetMode="External"/><Relationship Id="rId27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0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3" Type="http://schemas.openxmlformats.org/officeDocument/2006/relationships/hyperlink" Target="../CERTIFICACIONES%20SAMFOR/CERTIFICACIONES%20ACTUALES/CERTIFICADOS%20DE%20HERRAMIENTAS/ARNES%20Y%20CABO%20DE%20VIDA%20SF-ARN-026%20.pdf" TargetMode="External"/><Relationship Id="rId48" Type="http://schemas.openxmlformats.org/officeDocument/2006/relationships/printerSettings" Target="../printerSettings/printerSettings2.bin"/><Relationship Id="rId8" Type="http://schemas.openxmlformats.org/officeDocument/2006/relationships/hyperlink" Target="..\CERTIFICACIONES%20SAMFOR\CERTIFICACIONES%20ACTUALES\CERTIFICADOS%20DE%20HERRAMIENTAS\ARNES%20Y%20CABO%20DE%20VIDA%20020-022.pdf" TargetMode="External"/><Relationship Id="rId51" Type="http://schemas.openxmlformats.org/officeDocument/2006/relationships/table" Target="../tables/table2.xml"/><Relationship Id="rId3" Type="http://schemas.openxmlformats.org/officeDocument/2006/relationships/hyperlink" Target="..\CERTIFICACIONES%20SAMFOR\CERTIFICACIONES%20ACTUALES\CERTIFICADOS%20DE%20HERRAMIENTAS\ARNES%20Y%20CABO%20DE%20VIDA%20019.pdf" TargetMode="External"/><Relationship Id="rId12" Type="http://schemas.openxmlformats.org/officeDocument/2006/relationships/hyperlink" Target="../CERTIFICACIONES%20SAMFOR/CERTIFICACIONES%20ACTUALES/CERTIFICADOS%20DE%20HERRAMIENTAS/ARNES%20Y%20CABO%20DE%20VIDA%20SF-ARN-027.pdf" TargetMode="External"/><Relationship Id="rId17" Type="http://schemas.openxmlformats.org/officeDocument/2006/relationships/hyperlink" Target="..\CERTIFICACIONES%20SAMFOR\CERTIFICACIONES%20ACTUALES\CERTIFICADOS%20DE%20HERRAMIENTAS\CABO%20DE%20VIDA%201M%20SF-ARN-031-040.pdf" TargetMode="External"/><Relationship Id="rId2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3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8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6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\CERTIFICACIONES%20SAMFOR\CERTIFICACIONES%20ACTUALES\CERTIFICADOS%20DE%20HERRAMIENTAS\CABO%20DE%20VIDA%201M%20SF-ARN-031-040.pdf" TargetMode="External"/><Relationship Id="rId41" Type="http://schemas.openxmlformats.org/officeDocument/2006/relationships/hyperlink" Target="../CERTIFICACIONES%20SAMFOR/CERTIFICACIONES%20ACTUALES/CERTIFICADOS%20DE%20HERRAMIENTAS/ARNES%20Y%20CABO%20DE%20VIDA%20SF-ARN-026%20.pdf" TargetMode="External"/><Relationship Id="rId1" Type="http://schemas.openxmlformats.org/officeDocument/2006/relationships/hyperlink" Target="..\CERTIFICACIONES%20SAMFOR\CERTIFICACIONES%20ACTUALES\CERTIFICADOS%20DE%20HERRAMIENTAS\ARNES%20Y%20CABO%20DE%20VIDA%20008,010.pdf" TargetMode="External"/><Relationship Id="rId6" Type="http://schemas.openxmlformats.org/officeDocument/2006/relationships/hyperlink" Target="..\CERTIFICACIONES%20SAMFOR\CERTIFICACIONES%20ACTUALES\CERTIFICADOS%20DE%20HERRAMIENTAS\ARNES%20Y%20CABO%20DE%20VIDA%20025.pdf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CERTIFICACIONES%20SAMFOR/CERTIFICACIONES%20ACTUALES/CERTIFICADOS%20DE%20HERRAMIENTAS/ARNES%20Y%20CABO%20DE%20VIDA%20008,010.pdf" TargetMode="External"/><Relationship Id="rId299" Type="http://schemas.openxmlformats.org/officeDocument/2006/relationships/hyperlink" Target="../CERTIFICACIONES%20SAMFOR/CERTIFICACIONES%20ACTUALES/CERTIFICADOS%20DE%20HERRAMIENTAS/GRILLETES%205-8%20INCH%204%20UNIDADES%20.pdf" TargetMode="External"/><Relationship Id="rId21" Type="http://schemas.openxmlformats.org/officeDocument/2006/relationships/hyperlink" Target="../CERTIFICACIONES%20SAMFOR/CERTIFICACIONES%20ACTUALES/CERTIFICADOS%20DE%20EQUIPOS/DETECTOR%20MULTIGAS%20ARXM%200500.PDF" TargetMode="External"/><Relationship Id="rId63" Type="http://schemas.openxmlformats.org/officeDocument/2006/relationships/hyperlink" Target="../certificaciones%20samfor/CERTIFICACIONES%20ACTUALES/CERTIFICADOS%20DE%20EQUIPOS/PINZA%20AMPERIMETRICA%2065960628MV.pdf" TargetMode="External"/><Relationship Id="rId159" Type="http://schemas.openxmlformats.org/officeDocument/2006/relationships/hyperlink" Target="../CERTIFICACIONES%20SAMFOR/CERTIFICACIONES%20ACTUALES/CERTIFICADOS%20DE%20HERRAMIENTAS/VALVULAS%20DE%20SEGURIDAD%20BG-2/CERTIFICADO%20SF-621.pdf" TargetMode="External"/><Relationship Id="rId324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0" Type="http://schemas.openxmlformats.org/officeDocument/2006/relationships/hyperlink" Target="../CERTIFICACIONES%20SAMFOR/CERTIFICACIONES%20ACTUALES/CERTIFICADOS%20DE%20MAQUINARIA%20PESADA/MONORRIEL%20SF-MON-001%20.pdf" TargetMode="External"/><Relationship Id="rId226" Type="http://schemas.openxmlformats.org/officeDocument/2006/relationships/hyperlink" Target="../CERTIFICACIONES%20SAMFOR/CERTIFICACIONES%20ACTUALES/CERTIFICADOS%20EXTINTORES/EXTINTOR%20PTBG-007.pdf" TargetMode="External"/><Relationship Id="rId268" Type="http://schemas.openxmlformats.org/officeDocument/2006/relationships/hyperlink" Target="," TargetMode="External"/><Relationship Id="rId32" Type="http://schemas.openxmlformats.org/officeDocument/2006/relationships/hyperlink" Target="../CERTIFICACIONES%20SAMFOR/CERTIFICACIONES%20ACTUALES/CERTIFICADOS%20DE%20EQUIPOS/GUANTES%20DIELECTRICOS%20C2S10G0021F.pdf" TargetMode="External"/><Relationship Id="rId74" Type="http://schemas.openxmlformats.org/officeDocument/2006/relationships/hyperlink" Target="about:blank" TargetMode="External"/><Relationship Id="rId128" Type="http://schemas.openxmlformats.org/officeDocument/2006/relationships/hyperlink" Target="../CERTIFICACIONES%20SAMFOR/CERTIFICACIONES%20ACTUALES/CERTIFICADOS%20DE%20HERRAMIENTAS/CABLE%20ACERO%201&#8221;%20X%203%20MTS.pdf" TargetMode="External"/><Relationship Id="rId335" Type="http://schemas.openxmlformats.org/officeDocument/2006/relationships/hyperlink" Target="../CERTIFICACIONES%20SAMFOR/CERTIFICACIONES%20ACTUALES/CERTIFICADOS%20DE%20EQUIPOS/MAQUINA%20DE%20SOLDAR%20U1990203461.pdf" TargetMode="External"/><Relationship Id="rId5" Type="http://schemas.openxmlformats.org/officeDocument/2006/relationships/hyperlink" Target="../CERTIFICACIONES%20SAMFOR/CERTIFICACIONES%20ACTUALES/CERTIFICADOS%20DE%20EQUIPOS/ALINEADOR%20LASER.PDF" TargetMode="External"/><Relationship Id="rId181" Type="http://schemas.openxmlformats.org/officeDocument/2006/relationships/hyperlink" Target="../CERTIFICACIONES%20SAMFOR/CERTIFICACIONES%20ACTUALES/CERTIFICADOS%20DE%20MAQUINARIA%20PESADA/QUINTA%20RUEDA%20FO8002226T%20PWS2.pdf" TargetMode="External"/><Relationship Id="rId237" Type="http://schemas.openxmlformats.org/officeDocument/2006/relationships/hyperlink" Target="../CERTIFICACIONES%20SAMFOR/CERTIFICACIONES%20ACTUALES/CERTIFICADOS%20EXTINTORES/EXTINTOR%20PTBG-018.pdf" TargetMode="External"/><Relationship Id="rId279" Type="http://schemas.openxmlformats.org/officeDocument/2006/relationships/hyperlink" Target="../CERTIFICACIONES%20SAMFOR/CERTIFICACIONES%20ACTUALES/CERTIFICADOS%20DE%20HERRAMIENTAS/ARNES%20(LINEA%20DE%20VIDA)%20SFLV01.pdf" TargetMode="External"/><Relationship Id="rId43" Type="http://schemas.openxmlformats.org/officeDocument/2006/relationships/hyperlink" Target="../CERTIFICACIONES%20SAMFOR/CERTIFICACIONES%20ACTUALES/CERTIFICADOS%20DE%20EQUIPOS/MODULO%20DE%20PRESION%203212012.pdf" TargetMode="External"/><Relationship Id="rId139" Type="http://schemas.openxmlformats.org/officeDocument/2006/relationships/hyperlink" Target="../CERTIFICACIONES%20SAMFOR/CERTIFICACIONES%20ACTUALES/CERTIFICADOS%20DE%20HERRAMIENTAS/ESLINGA%20SINTETICA%20SF-ESL-044%20SAMFOR%20.pdf" TargetMode="External"/><Relationship Id="rId290" Type="http://schemas.openxmlformats.org/officeDocument/2006/relationships/hyperlink" Target="../CERTIFICACIONES%20SAMFOR/CERTIFICACIONES%20ACTUALES/CERTIFICADOS%20DE%20EQUIPOS/PINZA%20AMPERIMETRICA%2065960628MV%20SF-MED-052.pdf" TargetMode="External"/><Relationship Id="rId304" Type="http://schemas.openxmlformats.org/officeDocument/2006/relationships/hyperlink" Target="../CERTIFICACIONES%20SAMFOR/CERTIFICACIONES%20ACTUALES/CERTIFICADOS%20DE%20EQUIPOS/TORQUIMETRO%201-2%20H5%205240202447.pdf" TargetMode="External"/><Relationship Id="rId346" Type="http://schemas.openxmlformats.org/officeDocument/2006/relationships/hyperlink" Target="../CERTIFICACIONES%20SAMFOR/CERTIFICACIONES%20ACTUALES/CERTIFICADOS%20DE%20HERRAMIENTAS/ARNES%20Y%20CABO%20DE%20VIDA%20%20SF-ARN-054.pdf" TargetMode="External"/><Relationship Id="rId85" Type="http://schemas.openxmlformats.org/officeDocument/2006/relationships/hyperlink" Target="../CERTIFICACIONES%20SAMFOR/CERTIFICACIONES%20ACTUALES/CERTIFICADOS%20EXTINTORES/Certificado%20de%20C02%20BG-1.pdf" TargetMode="External"/><Relationship Id="rId150" Type="http://schemas.openxmlformats.org/officeDocument/2006/relationships/hyperlink" Target="../CERTIFICACIONES%20SAMFOR/CERTIFICACIONES%20ACTUALES/CERTIFICADOS%20DE%20HERRAMIENTAS/GRILLETES%205-8%20INCH%204%20UNIDADES.pdf" TargetMode="External"/><Relationship Id="rId192" Type="http://schemas.openxmlformats.org/officeDocument/2006/relationships/hyperlink" Target="../CERTIFICACIONES%20SAMFOR/CERTIFICACIONES%20ACTUALES/CERTIFICADOS%20DE%20EQUIPOS/PINZA%20AMPERIMETRICA%2069540107WS.pdf" TargetMode="External"/><Relationship Id="rId206" Type="http://schemas.openxmlformats.org/officeDocument/2006/relationships/hyperlink" Target="../CERTIFICACIONES%20SAMFOR/CERTIFICACIONES%20ACTUALES/CERTIFICADOS%20DE%20HERRAMIENTAS/ESLINGA%20SINTETICA%20BLANCA%20EC2B-2B%20EC3B-1B%20EC3B-2B%20EC3B-3B%20EC4B-3B%20.PDF" TargetMode="External"/><Relationship Id="rId248" Type="http://schemas.openxmlformats.org/officeDocument/2006/relationships/hyperlink" Target="../CERTIFICACIONES%20SAMFOR/CERTIFICACIONES%20ACTUALES/CERTIFICADOS%20EXTINTORES/EXTINTOR%20PTBG-029.pdf" TargetMode="External"/><Relationship Id="rId12" Type="http://schemas.openxmlformats.org/officeDocument/2006/relationships/hyperlink" Target="../CERTIFICACIONES%20SAMFOR/CERTIFICACIONES%20ACTUALES/CERTIFICADOS%20DE%20EQUIPOS/CALIBRADOR%20DE%20PROCESO%20DE%20DOCUMENTACION%209478031.PDF" TargetMode="External"/><Relationship Id="rId108" Type="http://schemas.openxmlformats.org/officeDocument/2006/relationships/hyperlink" Target="../CERTIFICACIONES%20SAMFOR/CERTIFICACIONES%20ACTUALES/CERTIFICADOS%20EXTINTORES/Bombonas%20CO2%20Bg2.pdf" TargetMode="External"/><Relationship Id="rId315" Type="http://schemas.openxmlformats.org/officeDocument/2006/relationships/hyperlink" Target="../CERTIFICACIONES%20SAMFOR/CERTIFICACIONES%20ACTUALES/CERTIFICADOS%20DE%20HERRAMIENTAS/CABO%20DE%20VIDA%201M%20SF-ARN-031-040.pdf" TargetMode="External"/><Relationship Id="rId357" Type="http://schemas.openxmlformats.org/officeDocument/2006/relationships/hyperlink" Target="../CERTIFICACIONES%20SAMFOR/CERTIFICACIONES%20ACTUALES/CERTIFICADOS%20DE%20EQUIPOS/TORQUIMETRO%201-4%20H5%205040202191.pdf" TargetMode="External"/><Relationship Id="rId54" Type="http://schemas.openxmlformats.org/officeDocument/2006/relationships/hyperlink" Target="../CERTIFICACIONES%20SAMFOR/CERTIFICACIONES%20ACTUALES/CERTIFICADOS%20DE%20EQUIPOS/PINZA%20AMPERIMETRICA%2014960110..pdf" TargetMode="External"/><Relationship Id="rId96" Type="http://schemas.openxmlformats.org/officeDocument/2006/relationships/hyperlink" Target="../CERTIFICACIONES%20SAMFOR/CERTIFICACIONES%20ACTUALES/CERTIFICADOS%20EXTINTORES/Certificado%20de%20C02%20BG-1.pdf" TargetMode="External"/><Relationship Id="rId16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217" Type="http://schemas.openxmlformats.org/officeDocument/2006/relationships/hyperlink" Target="../CERTIFICACIONES%20SAMFOR/CERTIFICACIONES%20ACTUALES/CERTIFICADOS%20DE%20EQUIPOS/GUANTES%20DIELECTRICOS%204122575.pdf" TargetMode="External"/><Relationship Id="rId259" Type="http://schemas.openxmlformats.org/officeDocument/2006/relationships/hyperlink" Target="," TargetMode="External"/><Relationship Id="rId23" Type="http://schemas.openxmlformats.org/officeDocument/2006/relationships/hyperlink" Target="../CERTIFICACIONES%20SAMFOR/CERTIFICACIONES%20ACTUALES/CERTIFICADOS%20DE%20EQUIPOS/BOMBA%20PARA%20PRUEBA%20HIDR&#193;ULICA%206559033MV.pdf" TargetMode="External"/><Relationship Id="rId119" Type="http://schemas.openxmlformats.org/officeDocument/2006/relationships/hyperlink" Target="../CERTIFICACIONES%20SAMFOR/CERTIFICACIONES%20ACTUALES/CERTIFICADOS%20DE%20HERRAMIENTAS/ARNES%20Y%20CABO%20DE%20VIDA%20019.pdf" TargetMode="External"/><Relationship Id="rId270" Type="http://schemas.openxmlformats.org/officeDocument/2006/relationships/hyperlink" Target="," TargetMode="External"/><Relationship Id="rId326" Type="http://schemas.openxmlformats.org/officeDocument/2006/relationships/hyperlink" Target="../CERTIFICACIONES%20SAMFOR/CERTIFICACIONES%20ACTUALES/CERTIFICADOS%20DE%20HERRAMIENTAS/ESLINGA%20DE%20ACERO%20JW-215-JW-216%20SL-ESLA-005A-B.pdf" TargetMode="External"/><Relationship Id="rId65" Type="http://schemas.openxmlformats.org/officeDocument/2006/relationships/hyperlink" Target="../CERTIFICACIONES%20SAMFOR/CERTIFICACIONES%20ACTUALES/CERTIFICADOS%20DE%20EQUIPOS/POLIPASTO%20MANUAL%20DE%20CADENA%205309.pdf" TargetMode="External"/><Relationship Id="rId130" Type="http://schemas.openxmlformats.org/officeDocument/2006/relationships/hyperlink" Target="../CERTIFICACIONES%20SAMFOR/CERTIFICACIONES%20ACTUALES/CERTIFICADOS%20DE%20HERRAMIENTAS/ESLINGA%20162418%2029.%20112417%2018.%20142409%2010.PDF" TargetMode="External"/><Relationship Id="rId172" Type="http://schemas.openxmlformats.org/officeDocument/2006/relationships/hyperlink" Target="../CERTIFICACIONES%20SAMFOR/CERTIFICACIONES%20ACTUALES/CERTIFICADOS%20DE%20MAQUINARIA%20PESADA/MONORRIEL%20SF-MON-003.pdf" TargetMode="External"/><Relationship Id="rId228" Type="http://schemas.openxmlformats.org/officeDocument/2006/relationships/hyperlink" Target="../CERTIFICACIONES%20SAMFOR/CERTIFICACIONES%20ACTUALES/CERTIFICADOS%20EXTINTORES/EXTINTOR%20PTBG-009.pdf" TargetMode="External"/><Relationship Id="rId281" Type="http://schemas.openxmlformats.org/officeDocument/2006/relationships/hyperlink" Target="../CERTIFICACIONES%20SAMFOR/CERTIFICACIONES%20ACTUALES/CERTIFICADOS%20DE%20MAQUINARIA%20PESADA/GR&#218;A%20ARTICULADA%203641%20SAMFOR.pdf" TargetMode="External"/><Relationship Id="rId337" Type="http://schemas.openxmlformats.org/officeDocument/2006/relationships/hyperlink" Target="../CERTIFICACIONES%20SAMFOR/CERTIFICACIONES%20ACTUALES/CERTIFICADOS%20DE%20HERRAMIENTAS/ARNES%20Y%20CABO%20DE%20VIDA%20SF-ARN-026%20.pdf" TargetMode="External"/><Relationship Id="rId34" Type="http://schemas.openxmlformats.org/officeDocument/2006/relationships/hyperlink" Target="../CERTIFICACIONES%20SAMFOR/CERTIFICACIONES%20ACTUALES/CERTIFICADOS%20DE%20EQUIPOS/GUANTES%20DIELECTRICOS%203102632.pdf" TargetMode="External"/><Relationship Id="rId76" Type="http://schemas.openxmlformats.org/officeDocument/2006/relationships/hyperlink" Target="about:blank" TargetMode="External"/><Relationship Id="rId141" Type="http://schemas.openxmlformats.org/officeDocument/2006/relationships/hyperlink" Target="../CERTIFICACIONES%20SAMFOR/CERTIFICACIONES%20ACTUALES/CERTIFICADOS%20DE%20HERRAMIENTAS/ESLINGA%20DE%20ACERO%20SF-ESLA-003AB.pdf" TargetMode="External"/><Relationship Id="rId7" Type="http://schemas.openxmlformats.org/officeDocument/2006/relationships/hyperlink" Target="../CERTIFICACIONES%20SAMFOR/CERTIFICACIONES%20ACTUALES/CERTIFICADOS%20DE%20EQUIPOS/MANOMETRO%20B09JDP6K1.PDF" TargetMode="External"/><Relationship Id="rId183" Type="http://schemas.openxmlformats.org/officeDocument/2006/relationships/hyperlink" Target="../CERTIFICACIONES%20SAMFOR/CERTIFICACIONES%20ACTUALES/CERTIFICADOS%20DE%20MAQUINARIA%20PESADA/VACUUM%2008011253%20SMP-463.pdf" TargetMode="External"/><Relationship Id="rId239" Type="http://schemas.openxmlformats.org/officeDocument/2006/relationships/hyperlink" Target="../CERTIFICACIONES%20SAMFOR/CERTIFICACIONES%20ACTUALES/CERTIFICADOS%20EXTINTORES/EXTINTOR%20PTBG-020.pdf" TargetMode="External"/><Relationship Id="rId250" Type="http://schemas.openxmlformats.org/officeDocument/2006/relationships/hyperlink" Target="../CERTIFICACIONES%20SAMFOR/CERTIFICACIONES%20ACTUALES/CERTIFICADOS%20EXTINTORES/EXTINTOR%20PTBG-031.pdf" TargetMode="External"/><Relationship Id="rId292" Type="http://schemas.openxmlformats.org/officeDocument/2006/relationships/hyperlink" Target="..\CERTIFICACIONES%20SAMFOR\CERTIFICACIONES%20ACTUALES\CERTIFICADOS%20DE%20HERRAMIENTAS\25436%20ESLINGA%20MODELO%2011%20DE%2034%20x%201,00%20MTS%20050400035A.pdf" TargetMode="External"/><Relationship Id="rId306" Type="http://schemas.openxmlformats.org/officeDocument/2006/relationships/hyperlink" Target="../CERTIFICACIONES%20SAMFOR/CERTIFICACIONES%20ACTUALES/CERTIFICADOS%20DE%20EQUIPOS/TORQUIMETRO%201-2%20L5%205240301935.pdf" TargetMode="External"/><Relationship Id="rId45" Type="http://schemas.openxmlformats.org/officeDocument/2006/relationships/hyperlink" Target="../CERTIFICACIONES%20SAMFOR/CERTIFICACIONES%20ACTUALES/CERTIFICADOS%20DE%20EQUIPOS/MULTIMETRO%2062210118.PDF" TargetMode="External"/><Relationship Id="rId87" Type="http://schemas.openxmlformats.org/officeDocument/2006/relationships/hyperlink" Target="../CERTIFICACIONES%20SAMFOR/CERTIFICACIONES%20ACTUALES/CERTIFICADOS%20EXTINTORES/Certificado%20de%20C02%20BG-1.pdf" TargetMode="External"/><Relationship Id="rId110" Type="http://schemas.openxmlformats.org/officeDocument/2006/relationships/hyperlink" Target="../CERTIFICACIONES%20SAMFOR/CERTIFICACIONES%20ACTUALES/CERTIFICADOS%20EXTINTORES/Bombonas%20CO2%20Bg2.pdf" TargetMode="External"/><Relationship Id="rId348" Type="http://schemas.openxmlformats.org/officeDocument/2006/relationships/hyperlink" Target="../CERTIFICACIONES%20SAMFOR/CERTIFICACIONES%20ACTUALES/CERTIFICADOS%20DE%20HERRAMIENTAS/ARNES%20Y%20CABO%20DE%20VIDA%20%20SF-ARN-056.pdf" TargetMode="External"/><Relationship Id="rId152" Type="http://schemas.openxmlformats.org/officeDocument/2006/relationships/hyperlink" Target="../CERTIFICACIONES%20SAMFOR/CERTIFICACIONES%20ACTUALES/CERTIFICADOS%20DE%20HERRAMIENTAS/SOPORTE%20AJUSTABLE%20Y%20FIJO%207T.pdf" TargetMode="External"/><Relationship Id="rId194" Type="http://schemas.openxmlformats.org/officeDocument/2006/relationships/hyperlink" Target="../CERTIFICACIONES%20SAMFOR/CERTIFICACIONES%20ACTUALES/CERTIFICADOS%20DE%20HERRAMIENTAS/ESLINGA%20DE%20IZAMIENTO%20SF-ESL-077%20472553.pdf" TargetMode="External"/><Relationship Id="rId208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261" Type="http://schemas.openxmlformats.org/officeDocument/2006/relationships/hyperlink" Target="," TargetMode="External"/><Relationship Id="rId14" Type="http://schemas.openxmlformats.org/officeDocument/2006/relationships/hyperlink" Target="../CERTIFICACIONES%20SAMFOR/CERTIFICACIONES%20ACTUALES/CERTIFICADOS%20DE%20EQUIPOS/COMPARADOR%20DE%20CUADRANTE%20CA25SLBF84.pdf" TargetMode="External"/><Relationship Id="rId56" Type="http://schemas.openxmlformats.org/officeDocument/2006/relationships/hyperlink" Target="../CERTIFICACIONES%20SAMFOR/CERTIFICACIONES%20ACTUALES/CERTIFICADOS%20DE%20EQUIPOS/PINZA%20AMPERIMETRICA%2065340132WS%20UCS-E-0079-25.pdf" TargetMode="External"/><Relationship Id="rId317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359" Type="http://schemas.openxmlformats.org/officeDocument/2006/relationships/hyperlink" Target="../CERTIFICACIONES%20SAMFOR/CERTIFICACIONES%20ACTUALES/CERTIFICADOS%20DE%20EQUIPOS/TORQUIMETRO%2034%206789.PDF" TargetMode="External"/><Relationship Id="rId98" Type="http://schemas.openxmlformats.org/officeDocument/2006/relationships/hyperlink" Target="../CERTIFICACIONES%20SAMFOR/CERTIFICACIONES%20ACTUALES/CERTIFICADOS%20EXTINTORES/Bombonas%20CO2%20Bg2.pdf" TargetMode="External"/><Relationship Id="rId121" Type="http://schemas.openxmlformats.org/officeDocument/2006/relationships/hyperlink" Target="../CERTIFICACIONES%20SAMFOR/CERTIFICACIONES%20ACTUALES/CERTIFICADOS%20DE%20HERRAMIENTAS/ARNES%20Y%20CABO%20DE%20VIDA%20021.pdf" TargetMode="External"/><Relationship Id="rId163" Type="http://schemas.openxmlformats.org/officeDocument/2006/relationships/hyperlink" Target="../CERTIFICACIONES%20SAMFOR/CERTIFICACIONES%20ACTUALES/CERTIFICADOS%20DE%20HERRAMIENTAS/SF-736%20CERTIFICADO%20SEGURIDAD.pdf" TargetMode="External"/><Relationship Id="rId219" Type="http://schemas.openxmlformats.org/officeDocument/2006/relationships/hyperlink" Target="..\CERTIFICACIONES%20SAMFOR\CERTIFICACIONES%20ACTUALES\CERTIFICADOS%20DE%20EQUIPOS\GUANTES%20DIELECTRICOS%204122575.pdf" TargetMode="External"/><Relationship Id="rId230" Type="http://schemas.openxmlformats.org/officeDocument/2006/relationships/hyperlink" Target="../CERTIFICACIONES%20SAMFOR/CERTIFICACIONES%20ACTUALES/CERTIFICADOS%20EXTINTORES/EXTINTOR%20PTBG-011.pdf" TargetMode="External"/><Relationship Id="rId25" Type="http://schemas.openxmlformats.org/officeDocument/2006/relationships/hyperlink" Target="../CERTIFICACIONES%20SAMFOR/CERTIFICACIONES%20ACTUALES/CERTIFICADOS%20DE%20EQUIPOS/DTX-1855616.pdf" TargetMode="External"/><Relationship Id="rId67" Type="http://schemas.openxmlformats.org/officeDocument/2006/relationships/hyperlink" Target="../CERTIFICACIONES%20SAMFOR/CERTIFICACIONES%20ACTUALES/CERTIFICADOS%20DE%20EQUIPOS/GRUA%20MANUAL%20SF-POL-001%20.pdf" TargetMode="External"/><Relationship Id="rId272" Type="http://schemas.openxmlformats.org/officeDocument/2006/relationships/hyperlink" Target="," TargetMode="External"/><Relationship Id="rId328" Type="http://schemas.openxmlformats.org/officeDocument/2006/relationships/hyperlink" Target="../CERTIFICACIONES%20SAMFOR/CERTIFICACIONES%20ACTUALES/CERTIFICADOS%20DE%20HERRAMIENTAS/GRILLETES%20JW217-JW218%20.pdf" TargetMode="External"/><Relationship Id="rId88" Type="http://schemas.openxmlformats.org/officeDocument/2006/relationships/hyperlink" Target="../CERTIFICACIONES%20SAMFOR/CERTIFICACIONES%20ACTUALES/CERTIFICADOS%20EXTINTORES/Certificado%20de%20C02%20BG-1.pdf" TargetMode="External"/><Relationship Id="rId111" Type="http://schemas.openxmlformats.org/officeDocument/2006/relationships/hyperlink" Target="../CERTIFICACIONES%20SAMFOR/CERTIFICACIONES%20ACTUALES/CERTIFICADOS%20DE%20HERRAMIENTAS/APARAEJOS%20DE%20IZAMIENTO%20(CANCAMOS).pdf" TargetMode="External"/><Relationship Id="rId132" Type="http://schemas.openxmlformats.org/officeDocument/2006/relationships/hyperlink" Target="../CERTIFICACIONES%20SAMFOR/CERTIFICACIONES%20ACTUALES/CERTIFICADOS%20DE%20HERRAMIENTAS/ESLINGA%20482438.pdf" TargetMode="External"/><Relationship Id="rId153" Type="http://schemas.openxmlformats.org/officeDocument/2006/relationships/hyperlink" Target="../CERTIFICACIONES%20SAMFOR/CERTIFICACIONES%20ACTUALES/CERTIFICADOS%20DE%20HERRAMIENTAS/SF-744%20CERTIFICADO%20COMPUERTA.pdf" TargetMode="External"/><Relationship Id="rId174" Type="http://schemas.openxmlformats.org/officeDocument/2006/relationships/hyperlink" Target="../CERTIFICACIONES%20SAMFOR/CERTIFICACIONES%20ACTUALES/CERTIFICADOS%20DE%20MAQUINARIA%20PESADA/GR&#218;A%20PUENTE%20HLW24648%20PETROBOSCAN.pdf" TargetMode="External"/><Relationship Id="rId195" Type="http://schemas.openxmlformats.org/officeDocument/2006/relationships/hyperlink" Target="../CERTIFICACIONES%20SAMFOR/CERTIFICACIONES%20ACTUALES/CERTIFICADOS%20DE%20EQUIPOS/TORQUIMETRO%20DE%2038%20SF-T-02%20EPANLO.PDF" TargetMode="External"/><Relationship Id="rId209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360" Type="http://schemas.openxmlformats.org/officeDocument/2006/relationships/hyperlink" Target="..\CERTIFICACIONES%20SAMFOR\CERTIFICACIONES%20ACTUALES\CERTIFICADOS%20DE%20HERRAMIENTAS\CA&#771;NCAMOS%201%20x%2013300Lb%20SF-CPT-1.pdf" TargetMode="External"/><Relationship Id="rId220" Type="http://schemas.openxmlformats.org/officeDocument/2006/relationships/hyperlink" Target="../CERTIFICACIONES%20SAMFOR/CERTIFICACIONES%20ACTUALES/CERTIFICADOS%20EXTINTORES/EXTINTOR%20PTBG-001.pdf" TargetMode="External"/><Relationship Id="rId241" Type="http://schemas.openxmlformats.org/officeDocument/2006/relationships/hyperlink" Target="../CERTIFICACIONES%20SAMFOR/CERTIFICACIONES%20ACTUALES/CERTIFICADOS%20EXTINTORES/EXTINTOR%20PTBG-022.pdf" TargetMode="External"/><Relationship Id="rId15" Type="http://schemas.openxmlformats.org/officeDocument/2006/relationships/hyperlink" Target="../CERTIFICACIONES%20SAMFOR/CERTIFICACIONES%20ACTUALES/CERTIFICADOS%20DE%20EQUIPOS/COMPARADOR%20DE%20CUADRANTE%20CA25SL6538.pdf" TargetMode="External"/><Relationship Id="rId36" Type="http://schemas.openxmlformats.org/officeDocument/2006/relationships/hyperlink" Target="../CERTIFICACIONES%20SAMFOR/CERTIFICACIONES%20ACTUALES/CERTIFICADOS%20DE%20EQUIPOS/GUANTES%20DIELECTRICOS%204587194-4588840.pdf" TargetMode="External"/><Relationship Id="rId57" Type="http://schemas.openxmlformats.org/officeDocument/2006/relationships/hyperlink" Target="../CERTIFICACIONES%20SAMFOR/CERTIFICACIONES%20ACTUALES/CERTIFICADOS%20DE%20EQUIPOS/PINZA%20AMPERIMETRICA%2062500107.pdf" TargetMode="External"/><Relationship Id="rId262" Type="http://schemas.openxmlformats.org/officeDocument/2006/relationships/hyperlink" Target="," TargetMode="External"/><Relationship Id="rId283" Type="http://schemas.openxmlformats.org/officeDocument/2006/relationships/hyperlink" Target="..\CERTIFICACIONES%20SAMFOR\CERTIFICACIONES%20ACTUALES\CERTIFICADOS%20DE%20HERRAMIENTAS\ARNES%20Y%20CABO%20DE%20VIDA%20025.pdf" TargetMode="External"/><Relationship Id="rId318" Type="http://schemas.openxmlformats.org/officeDocument/2006/relationships/hyperlink" Target="../CERTIFICACIONES%20SAMFOR/CERTIFICACIONES%20ACTUALES/CERTIFICADOS%20DE%20HERRAMIENTAS/CA&#771;NCAMOS%20BG01%20ENCLOSURE%20TURBINA.pdf" TargetMode="External"/><Relationship Id="rId339" Type="http://schemas.openxmlformats.org/officeDocument/2006/relationships/hyperlink" Target="../CERTIFICACIONES%20SAMFOR/CERTIFICACIONES%20ACTUALES/CERTIFICADOS%20DE%20HERRAMIENTAS/ARNES%20Y%20CABO%20DE%20VIDA%20SF-ARN-026%20.pdf" TargetMode="External"/><Relationship Id="rId78" Type="http://schemas.openxmlformats.org/officeDocument/2006/relationships/hyperlink" Target="../CERTIFICACIONES%20SAMFOR/CERTIFICACIONES%20ACTUALES/CERTIFICADOS%20DE%20EQUIPOS/ROTAMETRO%20D12301796.pdf" TargetMode="External"/><Relationship Id="rId99" Type="http://schemas.openxmlformats.org/officeDocument/2006/relationships/hyperlink" Target="../CERTIFICACIONES%20SAMFOR/CERTIFICACIONES%20ACTUALES/CERTIFICADOS%20EXTINTORES/Bombonas%20CO2%20Bg2.pdf" TargetMode="External"/><Relationship Id="rId101" Type="http://schemas.openxmlformats.org/officeDocument/2006/relationships/hyperlink" Target="../CERTIFICACIONES%20SAMFOR/CERTIFICACIONES%20ACTUALES/CERTIFICADOS%20EXTINTORES/Bombonas%20CO2%20Bg2.pdf" TargetMode="External"/><Relationship Id="rId122" Type="http://schemas.openxmlformats.org/officeDocument/2006/relationships/hyperlink" Target="../CERTIFICACIONES%20SAMFOR/CERTIFICACIONES%20ACTUALES/CERTIFICADOS%20DE%20HERRAMIENTAS/ARNES%20Y%20CABO%20DE%20VIDA%20023.pdf" TargetMode="External"/><Relationship Id="rId143" Type="http://schemas.openxmlformats.org/officeDocument/2006/relationships/hyperlink" Target="../CERTIFICACIONES%20SAMFOR/CERTIFICACIONES%20ACTUALES/CERTIFICADOS%20DE%20HERRAMIENTAS/ESLINGA_POLIESTER_ALTA_TENACIDAD_(AMARRILLO)9CMX_3MTS9CM_X_1MTS_162418_162425.pdf" TargetMode="External"/><Relationship Id="rId164" Type="http://schemas.openxmlformats.org/officeDocument/2006/relationships/hyperlink" Target="../CERTIFICACIONES%20SAMFOR/CERTIFICACIONES%20ACTUALES/CERTIFICADOS%20DE%20MAQUINARIA%20PESADA/PIN%20REY%20(Vacuum)%20SMP-463.pdf" TargetMode="External"/><Relationship Id="rId185" Type="http://schemas.openxmlformats.org/officeDocument/2006/relationships/hyperlink" Target="../CERTIFICACIONES%20SAMFOR/CERTIFICACIONES%20ACTUALES/CERTIFICADOS%20DE%20HERRAMIENTAS/ESLINGAS%20(3.5%20INCH%20X%203m)%20472550%20472551%20472552%20442515.pdf" TargetMode="External"/><Relationship Id="rId350" Type="http://schemas.openxmlformats.org/officeDocument/2006/relationships/hyperlink" Target="../CERTIFICACIONES%20SAMFOR/CERTIFICACIONES%20ACTUALES/CERTIFICADOS%20DE%20HERRAMIENTAS/ARNES%20Y%20CABO%20DE%20VIDA%20%20SF-ARN-058.pdf" TargetMode="External"/><Relationship Id="rId9" Type="http://schemas.openxmlformats.org/officeDocument/2006/relationships/hyperlink" Target="../CERTIFICACIONES%20SAMFOR/CERTIFICACIONES%20ACTUALES/CERTIFICADOS%20DE%20EQUIPOS/BOMBA.HIDRAULICA%206920.pdf" TargetMode="External"/><Relationship Id="rId210" Type="http://schemas.openxmlformats.org/officeDocument/2006/relationships/hyperlink" Target="../CERTIFICACIONES%20SAMFOR/CERTIFICACIONES%20ACTUALES/CERTIFICADOS%20DE%20EQUIPOS/GUANTE%20DIEL&#201;CTRICO%20CLASS%2000%20TIPO%201%201776742%201626438.pdf" TargetMode="External"/><Relationship Id="rId26" Type="http://schemas.openxmlformats.org/officeDocument/2006/relationships/hyperlink" Target="../CERTIFICACIONES%20SAMFOR/CERTIFICACIONES%20ACTUALES/CERTIFICADOS%20DE%20EQUIPOS/DTX-1800%20181369%201813070.pdf" TargetMode="External"/><Relationship Id="rId231" Type="http://schemas.openxmlformats.org/officeDocument/2006/relationships/hyperlink" Target="../CERTIFICACIONES%20SAMFOR/CERTIFICACIONES%20ACTUALES/CERTIFICADOS%20EXTINTORES/EXTINTOR%20PTBG-012.pdf" TargetMode="External"/><Relationship Id="rId252" Type="http://schemas.openxmlformats.org/officeDocument/2006/relationships/hyperlink" Target="../CERTIFICACIONES%20SAMFOR/CERTIFICACIONES%20ACTUALES/CERTIFICADOS%20EXTINTORES/EXTINTOR%20PTBG-033.pdf" TargetMode="External"/><Relationship Id="rId273" Type="http://schemas.openxmlformats.org/officeDocument/2006/relationships/hyperlink" Target="," TargetMode="External"/><Relationship Id="rId294" Type="http://schemas.openxmlformats.org/officeDocument/2006/relationships/hyperlink" Target="..\CERTIFICACIONES%20SAMFOR\CERTIFICACIONES%20ACTUALES\CERTIFICADOS%20DE%20HERRAMIENTAS\IZAMIENTO%20(GRILLETES).PDF" TargetMode="External"/><Relationship Id="rId308" Type="http://schemas.openxmlformats.org/officeDocument/2006/relationships/hyperlink" Target="../CERTIFICACIONES%20SAMFOR/CERTIFICACIONES%20ACTUALES/CERTIFICADOS%20DE%20EQUIPOS/TORQUIMETRO%203-8%20K5%205140200046.pdf" TargetMode="External"/><Relationship Id="rId329" Type="http://schemas.openxmlformats.org/officeDocument/2006/relationships/hyperlink" Target="../CERTIFICACIONES%20SAMFOR/CERTIFICACIONES%20ACTUALES/CERTIFICADOS%20DE%20EQUIPOS/DETECTOR%20MULTIGAS%20SF-MED-056.pdf" TargetMode="External"/><Relationship Id="rId47" Type="http://schemas.openxmlformats.org/officeDocument/2006/relationships/hyperlink" Target="../CERTIFICACIONES%20SAMFOR/CERTIFICACIONES%20ACTUALES/CERTIFICADOS%20DE%20EQUIPOS/MULTIMETRO%2010510101.PDF" TargetMode="External"/><Relationship Id="rId68" Type="http://schemas.openxmlformats.org/officeDocument/2006/relationships/hyperlink" Target="../CERTIFICACIONES%20SAMFOR/CERTIFICACIONES%20ACTUALES/CERTIFICADOS%20DE%20EQUIPOS/GRUA%20MANUAL%20SF-POL-002%20.pdf" TargetMode="External"/><Relationship Id="rId89" Type="http://schemas.openxmlformats.org/officeDocument/2006/relationships/hyperlink" Target="../CERTIFICACIONES%20SAMFOR/CERTIFICACIONES%20ACTUALES/CERTIFICADOS%20EXTINTORES/Certificado%20de%20C02%20BG-1.pdf" TargetMode="External"/><Relationship Id="rId112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3" Type="http://schemas.openxmlformats.org/officeDocument/2006/relationships/hyperlink" Target="../CERTIFICACIONES%20SAMFOR/CERTIFICACIONES%20ACTUALES/CERTIFICADOS%20DE%20HERRAMIENTAS/ESLINGA%20SINTETICA%20SF-ESL-029,%20030.pdf" TargetMode="External"/><Relationship Id="rId154" Type="http://schemas.openxmlformats.org/officeDocument/2006/relationships/hyperlink" Target="../CERTIFICACIONES%20SAMFOR/CERTIFICACIONES%20ACTUALES/CERTIFICADOS%20DE%20HERRAMIENTAS/SF-746%20CERTIFICADO%20DILUVIO.pdf" TargetMode="External"/><Relationship Id="rId175" Type="http://schemas.openxmlformats.org/officeDocument/2006/relationships/hyperlink" Target="../CERTIFICACIONES%20SAMFOR/CERTIFICACIONES%20ACTUALES/CERTIFICADOS%20DE%20MAQUINARIA%20PESADA/GR&#218;A%20PUENTE%20HLW25869%20PETROBOSCAN.pdf" TargetMode="External"/><Relationship Id="rId340" Type="http://schemas.openxmlformats.org/officeDocument/2006/relationships/hyperlink" Target="../CERTIFICACIONES%20SAMFOR/CERTIFICACIONES%20ACTUALES/CERTIFICADOS%20DE%20HERRAMIENTAS/ARNES%20Y%20CABO%20DE%20VIDA%20SF-ARN-026%20.pdf" TargetMode="External"/><Relationship Id="rId361" Type="http://schemas.openxmlformats.org/officeDocument/2006/relationships/hyperlink" Target="..\CERTIFICACIONES%20SAMFOR\CERTIFICACIONES%20ACTUALES\CERTIFICADOS%20DE%20HERRAMIENTAS\CA&#771;NCAMOS%201%20x%2013300Lb%20SF-CPT-2.pdf" TargetMode="External"/><Relationship Id="rId196" Type="http://schemas.openxmlformats.org/officeDocument/2006/relationships/hyperlink" Target="../CERTIFICACIONES%20SAMFOR/CERTIFICACIONES%20ACTUALES/CERTIFICADOS%20DE%20EQUIPOS/TORQUIMETRO%2012%206791.PDF" TargetMode="External"/><Relationship Id="rId200" Type="http://schemas.openxmlformats.org/officeDocument/2006/relationships/hyperlink" Target="../CERTIFICACIONES%20SAMFOR/CERTIFICACIONES%20ACTUALES/CERTIFICADOS%20DE%20EQUIPOS/MAQUINA%20DE%20SOLDAR%20ELECTRICA%2012F88673622100391480011.pdf" TargetMode="External"/><Relationship Id="rId16" Type="http://schemas.openxmlformats.org/officeDocument/2006/relationships/hyperlink" Target="../CERTIFICACIONES%20SAMFOR/CERTIFICACIONES%20ACTUALES/CERTIFICADOS%20DE%20EQUIPOS/COMUNICADOR%20HART%2011099676.PDF" TargetMode="External"/><Relationship Id="rId221" Type="http://schemas.openxmlformats.org/officeDocument/2006/relationships/hyperlink" Target="../CERTIFICACIONES%20SAMFOR/CERTIFICACIONES%20ACTUALES/CERTIFICADOS%20EXTINTORES/EXTINTOR%20PTBG-002.pdf" TargetMode="External"/><Relationship Id="rId242" Type="http://schemas.openxmlformats.org/officeDocument/2006/relationships/hyperlink" Target="../CERTIFICACIONES%20SAMFOR/CERTIFICACIONES%20ACTUALES/CERTIFICADOS%20EXTINTORES/EXTINTOR%20PTBG-023.pdf" TargetMode="External"/><Relationship Id="rId263" Type="http://schemas.openxmlformats.org/officeDocument/2006/relationships/hyperlink" Target="," TargetMode="External"/><Relationship Id="rId284" Type="http://schemas.openxmlformats.org/officeDocument/2006/relationships/hyperlink" Target="..\CERTIFICACIONES%20SAMFOR\CERTIFICACIONES%20ACTUALES\CERTIFICADOS%20DE%20HERRAMIENTAS\ARNES%20Y%20CABO%20DE%20VIDA%20025.pdf" TargetMode="External"/><Relationship Id="rId319" Type="http://schemas.openxmlformats.org/officeDocument/2006/relationships/hyperlink" Target="../CERTIFICACIONES%20SAMFOR/CERTIFICACIONES%20ACTUALES/CERTIFICADOS%20DE%20HERRAMIENTAS/CA&#771;NCAMOS%20BG02%20ENCLOSURE%20TURBINA.pdf" TargetMode="External"/><Relationship Id="rId37" Type="http://schemas.openxmlformats.org/officeDocument/2006/relationships/hyperlink" Target="../CERTIFICACIONES%20SAMFOR/CERTIFICACIONES%20ACTUALES/CERTIFICADOS%20DE%20EQUIPOS/MODEM%20HART%20DE%20BAJA%20ENERG&#205;A%20BLUETOOTH%201230155.PDF" TargetMode="External"/><Relationship Id="rId58" Type="http://schemas.openxmlformats.org/officeDocument/2006/relationships/hyperlink" Target="../CERTIFICACIONES%20SAMFOR/CERTIFICACIONES%20ACTUALES/CERTIFICADOS%20DE%20EQUIPOS/Pinza%20Amperimetrica%2064672299MV.pdf" TargetMode="External"/><Relationship Id="rId79" Type="http://schemas.openxmlformats.org/officeDocument/2006/relationships/hyperlink" Target="../CERTIFICACIONES%20SAMFOR/CERTIFICACIONES%20ACTUALES/CERTIFICADOS%20DE%20EQUIPOS/ROTAMETRO%20D12301797.pdf" TargetMode="External"/><Relationship Id="rId102" Type="http://schemas.openxmlformats.org/officeDocument/2006/relationships/hyperlink" Target="../CERTIFICACIONES%20SAMFOR/CERTIFICACIONES%20ACTUALES/CERTIFICADOS%20EXTINTORES/Bombonas%20CO2%20Bg2.pdf" TargetMode="External"/><Relationship Id="rId123" Type="http://schemas.openxmlformats.org/officeDocument/2006/relationships/hyperlink" Target="../CERTIFICACIONES%20SAMFOR/CERTIFICACIONES%20ACTUALES/CERTIFICADOS%20DE%20HERRAMIENTAS/ARNES%20Y%20CABO%20DE%20VIDA%20024.pdf" TargetMode="External"/><Relationship Id="rId144" Type="http://schemas.openxmlformats.org/officeDocument/2006/relationships/hyperlink" Target="../CERTIFICACIONES%20SAMFOR/CERTIFICACIONES%20ACTUALES/CERTIFICADOS%20DE%20HERRAMIENTAS/ESLINGA%20SINTETICA%20AMARRE%204%20x%208m%20(10)_(SF-ESL-53%20al%2062).pdf" TargetMode="External"/><Relationship Id="rId330" Type="http://schemas.openxmlformats.org/officeDocument/2006/relationships/hyperlink" Target="../CERTIFICACIONES%20SAMFOR/CERTIFICACIONES%20ACTUALES/CERTIFICADOS%20DE%20HERRAMIENTAS/ESLINGA%20DE%20ACERO%20SF-ESLA-006.pdf" TargetMode="External"/><Relationship Id="rId90" Type="http://schemas.openxmlformats.org/officeDocument/2006/relationships/hyperlink" Target="../CERTIFICACIONES%20SAMFOR/CERTIFICACIONES%20ACTUALES/CERTIFICADOS%20EXTINTORES/Certificado%20de%20C02%20BG-1.pdf" TargetMode="External"/><Relationship Id="rId165" Type="http://schemas.openxmlformats.org/officeDocument/2006/relationships/hyperlink" Target="../CERTIFICACIONES%20SAMFOR/CERTIFICACIONES%20ACTUALES/CERTIFICADOS%20DE%20MAQUINARIA%20PESADA/BARRA%20IZAMIENTO%20PTBG-01%20PETROBOSCAN.pdf" TargetMode="External"/><Relationship Id="rId186" Type="http://schemas.openxmlformats.org/officeDocument/2006/relationships/hyperlink" Target="../CERTIFICACIONES%20SAMFOR/CERTIFICACIONES%20ACTUALES/CERTIFICADOS%20DE%20HERRAMIENTAS/VALVULA%20DE%20SEGURIDAD%20SA95397%20.pdf" TargetMode="External"/><Relationship Id="rId351" Type="http://schemas.openxmlformats.org/officeDocument/2006/relationships/hyperlink" Target="../CERTIFICACIONES%20SAMFOR/CERTIFICACIONES%20ACTUALES/CERTIFICADOS%20DE%20HERRAMIENTAS/ARNES%20Y%20CABO%20DE%20VIDA%20%20SF-ARN-059.pdf" TargetMode="External"/><Relationship Id="rId211" Type="http://schemas.openxmlformats.org/officeDocument/2006/relationships/hyperlink" Target="../CERTIFICACIONES%20SAMFOR/CERTIFICACIONES%20ACTUALES/CERTIFICADOS%20DE%20HERRAMIENTAS/ESLINGA%20SINT&#201;TICA%20SF-ESL-080.pdf" TargetMode="External"/><Relationship Id="rId232" Type="http://schemas.openxmlformats.org/officeDocument/2006/relationships/hyperlink" Target="../CERTIFICACIONES%20SAMFOR/CERTIFICACIONES%20ACTUALES/CERTIFICADOS%20EXTINTORES/EXTINTOR%20PTBG-013.pdf" TargetMode="External"/><Relationship Id="rId253" Type="http://schemas.openxmlformats.org/officeDocument/2006/relationships/hyperlink" Target="../CERTIFICACIONES%20SAMFOR/CERTIFICACIONES%20ACTUALES/CERTIFICADOS%20EXTINTORES/EXTINTOR%20PTBG-034.pdf" TargetMode="External"/><Relationship Id="rId274" Type="http://schemas.openxmlformats.org/officeDocument/2006/relationships/hyperlink" Target="," TargetMode="External"/><Relationship Id="rId295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09" Type="http://schemas.openxmlformats.org/officeDocument/2006/relationships/hyperlink" Target="../CERTIFICACIONES%20SAMFOR/CERTIFICACIONES%20ACTUALES/CERTIFICADOS%20DE%20EQUIPOS/TORQUIMETRO%203-8%20K5%205140200155.pdf" TargetMode="External"/><Relationship Id="rId27" Type="http://schemas.openxmlformats.org/officeDocument/2006/relationships/hyperlink" Target="../CERTIFICACIONES%20SAMFOR/CERTIFICACIONES%20ACTUALES/CERTIFICADOS%20DE%20EQUIPOS/DTX%201800%201855623.pdf" TargetMode="External"/><Relationship Id="rId48" Type="http://schemas.openxmlformats.org/officeDocument/2006/relationships/hyperlink" Target="../CERTIFICACIONES%20SAMFOR/CERTIFICACIONES%20ACTUALES/CERTIFICADOS%20DE%20EQUIPOS/MULTIMETRO%2034420225WS.PDF" TargetMode="External"/><Relationship Id="rId69" Type="http://schemas.openxmlformats.org/officeDocument/2006/relationships/hyperlink" Target="../CERTIFICACIONES%20SAMFOR/CERTIFICACIONES%20ACTUALES/CERTIFICADOS%20DE%20EQUIPOS/GR&#218;A%20DE%20CADENA%20%20SF-POL-003.pdf" TargetMode="External"/><Relationship Id="rId113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4" Type="http://schemas.openxmlformats.org/officeDocument/2006/relationships/hyperlink" Target="../CERTIFICACIONES%20SAMFOR/CERTIFICACIONES%20ACTUALES/CERTIFICADOS%20DE%20HERRAMIENTAS/ESLINGA%20382403.PDF" TargetMode="External"/><Relationship Id="rId320" Type="http://schemas.openxmlformats.org/officeDocument/2006/relationships/hyperlink" Target="../CERTIFICACIONES%20SAMFOR/CERTIFICACIONES%20ACTUALES/CERTIFICADOS%20DE%20HERRAMIENTAS/CABO%20DE%20VIDA%201,98%20M%20RECTRACTIL.pdf" TargetMode="External"/><Relationship Id="rId80" Type="http://schemas.openxmlformats.org/officeDocument/2006/relationships/hyperlink" Target="../CERTIFICACIONES%20SAMFOR/CERTIFICACIONES%20ACTUALES/CERTIFICADOS%20DE%20EQUIPOS/ROTAMETRO%20D12301798.pdf" TargetMode="External"/><Relationship Id="rId155" Type="http://schemas.openxmlformats.org/officeDocument/2006/relationships/hyperlink" Target="../CERTIFICACIONES%20SAMFOR/CERTIFICACIONES%20ACTUALES/CERTIFICADOS%20DE%20HERRAMIENTAS/SF-741%20CERTIFICADO%20COMPUERTA.pdf" TargetMode="External"/><Relationship Id="rId176" Type="http://schemas.openxmlformats.org/officeDocument/2006/relationships/hyperlink" Target="../CERTIFICACIONES%20SAMFOR/CERTIFICACIONES%20ACTUALES/CERTIFICADOS%20DE%20MAQUINARIA%20PESADA/GR&#218;A%20ARTICULADA%202664%20SAMFOR.pdf" TargetMode="External"/><Relationship Id="rId197" Type="http://schemas.openxmlformats.org/officeDocument/2006/relationships/hyperlink" Target="../CERTIFICACIONES%20SAMFOR/CERTIFICACIONES%20ACTUALES/CERTIFICADOS%20DE%20EQUIPOS/TORQUIMETRO%20DE%2038%20SF-T-02%20EPANLO.PDF" TargetMode="External"/><Relationship Id="rId341" Type="http://schemas.openxmlformats.org/officeDocument/2006/relationships/hyperlink" Target="../CERTIFICACIONES%20SAMFOR/CERTIFICACIONES%20ACTUALES/CERTIFICADOS%20DE%20HERRAMIENTAS/ARNES%20Y%20CABO%20DE%20VIDA%20SF-ARN-026%20.pdf" TargetMode="External"/><Relationship Id="rId362" Type="http://schemas.openxmlformats.org/officeDocument/2006/relationships/hyperlink" Target="../CERTIFICACIONES%20SAMFOR/CERTIFICACIONES%20ACTUALES/CERTIFICADOS%20DE%20HERRAMIENTAS/CA&#771;NCAMOS%201%20x%2013300Lb%20SF-CPT-1.pdf" TargetMode="External"/><Relationship Id="rId201" Type="http://schemas.openxmlformats.org/officeDocument/2006/relationships/hyperlink" Target="../CERTIFICACIONES%20SAMFOR/CERTIFICACIONES%20ACTUALES/CERTIFICADOS%20DE%20EQUIPOS/MAQUINA%20DE%20SOLDAR%20ELECTRICA%2012F88673622100391480018.pdf" TargetMode="External"/><Relationship Id="rId222" Type="http://schemas.openxmlformats.org/officeDocument/2006/relationships/hyperlink" Target="../CERTIFICACIONES%20SAMFOR/CERTIFICACIONES%20ACTUALES/CERTIFICADOS%20EXTINTORES/EXTINTOR%20PTBG-003.pdf" TargetMode="External"/><Relationship Id="rId243" Type="http://schemas.openxmlformats.org/officeDocument/2006/relationships/hyperlink" Target="../CERTIFICACIONES%20SAMFOR/CERTIFICACIONES%20ACTUALES/CERTIFICADOS%20EXTINTORES/EXTINTOR%20PTBG-024.pdf" TargetMode="External"/><Relationship Id="rId264" Type="http://schemas.openxmlformats.org/officeDocument/2006/relationships/hyperlink" Target="," TargetMode="External"/><Relationship Id="rId285" Type="http://schemas.openxmlformats.org/officeDocument/2006/relationships/hyperlink" Target="../CERTIFICACIONES%20SAMFOR/CERTIFICACIONES%20ACTUALES/CERTIFICADOS%20DE%20HERRAMIENTAS/ARNES%20Y%20CABO%20DE%20VIDA%20029.pdf" TargetMode="External"/><Relationship Id="rId17" Type="http://schemas.openxmlformats.org/officeDocument/2006/relationships/hyperlink" Target="../CERTIFICACIONES%20SAMFOR/CERTIFICACIONES%20ACTUALES/CERTIFICADOS%20DE%20EQUIPOS/COMUNICADOR%20DE%20CAMPO%204540536.pdf" TargetMode="External"/><Relationship Id="rId38" Type="http://schemas.openxmlformats.org/officeDocument/2006/relationships/hyperlink" Target="../CERTIFICACIONES%20SAMFOR/CERTIFICACIONES%20ACTUALES/CERTIFICADOS%20DE%20EQUIPOS/MANOMETRO%206185365.PDF" TargetMode="External"/><Relationship Id="rId59" Type="http://schemas.openxmlformats.org/officeDocument/2006/relationships/hyperlink" Target="../CERTIFICACIONES%20SAMFOR/CERTIFICACIONES%20ACTUALES/CERTIFICADOS%20DE%20EQUIPOS/PINZA%20AMPERIMETRICA%2066700001.PDF" TargetMode="External"/><Relationship Id="rId103" Type="http://schemas.openxmlformats.org/officeDocument/2006/relationships/hyperlink" Target="../CERTIFICACIONES%20SAMFOR/CERTIFICACIONES%20ACTUALES/CERTIFICADOS%20EXTINTORES/Bombonas%20CO2%20Bg2.pdf" TargetMode="External"/><Relationship Id="rId124" Type="http://schemas.openxmlformats.org/officeDocument/2006/relationships/hyperlink" Target="../CERTIFICACIONES%20SAMFOR/CERTIFICACIONES%20ACTUALES/CERTIFICADOS%20DE%20HERRAMIENTAS/ARNES%20Y%20CABO%20DE%20VIDA%20025.pdf" TargetMode="External"/><Relationship Id="rId310" Type="http://schemas.openxmlformats.org/officeDocument/2006/relationships/hyperlink" Target="../CERTIFICACIONES%20SAMFOR/CERTIFICACIONES%20ACTUALES/CERTIFICADOS%20DE%20EQUIPOS/DETECTOR%20MULTIGAS%20SF-MED-053.pdf" TargetMode="External"/><Relationship Id="rId70" Type="http://schemas.openxmlformats.org/officeDocument/2006/relationships/hyperlink" Target="../CERTIFICACIONES%20SAMFOR/CERTIFICACIONES%20ACTUALES/CERTIFICADOS%20DE%20EQUIPOS/GR&#218;A%20DE%20CADENA%20SF-POL-004.pdf" TargetMode="External"/><Relationship Id="rId91" Type="http://schemas.openxmlformats.org/officeDocument/2006/relationships/hyperlink" Target="../CERTIFICACIONES%20SAMFOR/CERTIFICACIONES%20ACTUALES/CERTIFICADOS%20EXTINTORES/Certificado%20de%20C02%20BG-1.pdf" TargetMode="External"/><Relationship Id="rId145" Type="http://schemas.openxmlformats.org/officeDocument/2006/relationships/hyperlink" Target="../CERTIFICACIONES%20SAMFOR/CERTIFICACIONES%20ACTUALES/CERTIFICADOS%20DE%20HERRAMIENTAS/GRILLETES%20&#190;%20x%204&#190;t%20(2)_(2IJ-5HK-V51-V52-5EG)_10-2025.pdf" TargetMode="External"/><Relationship Id="rId166" Type="http://schemas.openxmlformats.org/officeDocument/2006/relationships/hyperlink" Target="../CERTIFICACIONES%20SAMFOR/CERTIFICACIONES%20ACTUALES/CERTIFICADOS%20DE%20MAQUINARIA%20PESADA/PIN%20REY%20BATEA%2050t_A90AD7L%20SAMFOR.pdf" TargetMode="External"/><Relationship Id="rId187" Type="http://schemas.openxmlformats.org/officeDocument/2006/relationships/hyperlink" Target="../CERTIFICACIONES%20SAMFOR/CERTIFICACIONES%20ACTUALES/CERTIFICADOS%20DE%20HERRAMIENTAS/VALVULA%20DE%20SEGURIDAD%20SB01227%20.pdf" TargetMode="External"/><Relationship Id="rId331" Type="http://schemas.openxmlformats.org/officeDocument/2006/relationships/hyperlink" Target="../CERTIFICACIONES%20SAMFOR/CERTIFICACIONES%20ACTUALES/CERTIFICADOS%20DE%20HERRAMIENTAS/GRILLETES%20(2)%20V41%20V42.pdf" TargetMode="External"/><Relationship Id="rId352" Type="http://schemas.openxmlformats.org/officeDocument/2006/relationships/hyperlink" Target="../CERTIFICACIONES%20SAMFOR/CERTIFICACIONES%20ACTUALES/CERTIFICADOS%20DE%20EQUIPOS/GR&#218;A%20DE%20CADENA%20%20SF-POL-012.pdf" TargetMode="External"/><Relationship Id="rId1" Type="http://schemas.openxmlformats.org/officeDocument/2006/relationships/hyperlink" Target="ENLACE" TargetMode="External"/><Relationship Id="rId212" Type="http://schemas.openxmlformats.org/officeDocument/2006/relationships/hyperlink" Target="../CERTIFICACIONES%20SAMFOR/CERTIFICACIONES%20ACTUALES/CERTIFICADOS%20DE%20EQUIPOS/BOMBA%20PARA%20PRUEBA%20HIDR&#193;ULICA%206559033MV.pdf" TargetMode="External"/><Relationship Id="rId233" Type="http://schemas.openxmlformats.org/officeDocument/2006/relationships/hyperlink" Target="../CERTIFICACIONES%20SAMFOR/CERTIFICACIONES%20ACTUALES/CERTIFICADOS%20EXTINTORES/EXTINTOR%20PTBG-014.pdf" TargetMode="External"/><Relationship Id="rId254" Type="http://schemas.openxmlformats.org/officeDocument/2006/relationships/hyperlink" Target="../CERTIFICACIONES%20SAMFOR/CERTIFICACIONES%20ACTUALES/CERTIFICADOS%20EXTINTORES/EXTINTOR%20PTBG-035.pdf" TargetMode="External"/><Relationship Id="rId28" Type="http://schemas.openxmlformats.org/officeDocument/2006/relationships/hyperlink" Target="../certificaciones%20samfor/CERTIFICACIONES%20ACTUALES/CERTIFICADOS%20DE%20EQUIPOS/DTX-1800%209670008.pdf" TargetMode="External"/><Relationship Id="rId49" Type="http://schemas.openxmlformats.org/officeDocument/2006/relationships/hyperlink" Target="../CERTIFICACIONES%20SAMFOR/CERTIFICACIONES%20ACTUALES/CERTIFICADOS%20DE%20EQUIPOS/MULTIMETRO%200003366-%20E2011687%20.PDF" TargetMode="External"/><Relationship Id="rId114" Type="http://schemas.openxmlformats.org/officeDocument/2006/relationships/hyperlink" Target="../CERTIFICACIONES%20SAMFOR/CERTIFICACIONES%20ACTUALES/CERTIFICADOS%20DE%20HERRAMIENTAS/ARNES%20SFAR001.PDF" TargetMode="External"/><Relationship Id="rId275" Type="http://schemas.openxmlformats.org/officeDocument/2006/relationships/hyperlink" Target="," TargetMode="External"/><Relationship Id="rId296" Type="http://schemas.openxmlformats.org/officeDocument/2006/relationships/hyperlink" Target="../CERTIFICACIONES%20SAMFOR/CERTIFICACIONES%20ACTUALES/CERTIFICADOS%20DE%20HERRAMIENTAS/GRILLETES%203-8%20INCH%204%20UNIDADES.pdf" TargetMode="External"/><Relationship Id="rId300" Type="http://schemas.openxmlformats.org/officeDocument/2006/relationships/hyperlink" Target="../CERTIFICACIONES%20SAMFOR/CERTIFICACIONES%20ACTUALES/CERTIFICADOS%20DE%20MAQUINARIA%20PESADA/EXCAVADORA%20SMP-466%20.pdf" TargetMode="External"/><Relationship Id="rId60" Type="http://schemas.openxmlformats.org/officeDocument/2006/relationships/hyperlink" Target="../CERTIFICACIONES%20SAMFOR/CERTIFICACIONES%20ACTUALES/CERTIFICADOS%20DE%20EQUIPOS/PINZA%20AMPERIMETRICA%2064011048WS%20UCS-E-0080-25.pdf" TargetMode="External"/><Relationship Id="rId81" Type="http://schemas.openxmlformats.org/officeDocument/2006/relationships/hyperlink" Target="../CERTIFICACIONES%20SAMFOR/CERTIFICACIONES%20ACTUALES/CERTIFICADOS%20DE%20EQUIPOS/SF6-GAS%20S&#218;PER%20LIQUEFACTION%20SYSTEM%20L2370X.pdf" TargetMode="External"/><Relationship Id="rId135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56" Type="http://schemas.openxmlformats.org/officeDocument/2006/relationships/hyperlink" Target="../CERTIFICACIONES%20SAMFOR/CERTIFICACIONES%20ACTUALES/CERTIFICADOS%20DE%20HERRAMIENTAS/SF-742%20CERTIFICADO%20COMPUERTA.pdf" TargetMode="External"/><Relationship Id="rId177" Type="http://schemas.openxmlformats.org/officeDocument/2006/relationships/hyperlink" Target="../CERTIFICACIONES%20SAMFOR/CERTIFICACIONES%20ACTUALES/CERTIFICADOS%20DE%20MAQUINARIA%20PESADA/IZAMIENTO_LIFT%20FIXTURE%20(Avion)%20SF-LF-001.pdf" TargetMode="External"/><Relationship Id="rId198" Type="http://schemas.openxmlformats.org/officeDocument/2006/relationships/hyperlink" Target="../CERTIFICACIONES%20SAMFOR/CERTIFICACIONES%20ACTUALES/CERTIFICADOS%20DE%20EQUIPOS/OSCILOSCOPIO%20MULT&#205;METRO%20.PDF" TargetMode="External"/><Relationship Id="rId321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42" Type="http://schemas.openxmlformats.org/officeDocument/2006/relationships/hyperlink" Target="../CERTIFICACIONES%20SAMFOR/CERTIFICACIONES%20ACTUALES/CERTIFICADOS%20DE%20HERRAMIENTAS/ARNES%20Y%20CABO%20DE%20VIDA%20SF-ARN-026%20.pdf" TargetMode="External"/><Relationship Id="rId363" Type="http://schemas.openxmlformats.org/officeDocument/2006/relationships/hyperlink" Target="../CERTIFICACIONES%20SAMFOR/CERTIFICACIONES%20ACTUALES/CERTIFICADOS%20DE%20HERRAMIENTAS/CA&#771;NCAMOS%201%20x%2013300Lb%20SF-CPT-2.pdf" TargetMode="External"/><Relationship Id="rId202" Type="http://schemas.openxmlformats.org/officeDocument/2006/relationships/hyperlink" Target="../CERTIFICACIONES%20SAMFOR/CERTIFICACIONES%20ACTUALES/CERTIFICADOS%20DE%20HERRAMIENTAS/ESLINGA%20SINT&#201;TICA%20SF-ESL-041.PDF" TargetMode="External"/><Relationship Id="rId223" Type="http://schemas.openxmlformats.org/officeDocument/2006/relationships/hyperlink" Target="../CERTIFICACIONES%20SAMFOR/CERTIFICACIONES%20ACTUALES/CERTIFICADOS%20EXTINTORES/EXTINTOR%20PTBG-004.pdf" TargetMode="External"/><Relationship Id="rId244" Type="http://schemas.openxmlformats.org/officeDocument/2006/relationships/hyperlink" Target="../CERTIFICACIONES%20SAMFOR/CERTIFICACIONES%20ACTUALES/CERTIFICADOS%20EXTINTORES/EXTINTOR%20PTBG-025.pdf" TargetMode="External"/><Relationship Id="rId18" Type="http://schemas.openxmlformats.org/officeDocument/2006/relationships/hyperlink" Target="../CERTIFICACIONES%20SAMFOR/CERTIFICACIONES%20ACTUALES/CERTIFICADOS%20DE%20EQUIPOS/DETECTOR%20DE%20ALTA%20TENSIO&#769;N%202160194.pdf" TargetMode="External"/><Relationship Id="rId39" Type="http://schemas.openxmlformats.org/officeDocument/2006/relationships/hyperlink" Target="../CERTIFICACIONES%20SAMFOR/CERTIFICACIONES%20ACTUALES/CERTIFICADOS%20DE%20EQUIPOS/MAQUINA%20DE%20SOLDAR%20%20U1080600539.pdf" TargetMode="External"/><Relationship Id="rId265" Type="http://schemas.openxmlformats.org/officeDocument/2006/relationships/hyperlink" Target="," TargetMode="External"/><Relationship Id="rId286" Type="http://schemas.openxmlformats.org/officeDocument/2006/relationships/hyperlink" Target="../CERTIFICACIONES%20SAMFOR/CERTIFICACIONES%20ACTUALES/CERTIFICADOS%20DE%20HERRAMIENTAS/ARNES%20Y%20CABO%20DE%20VIDA%20030.pdf" TargetMode="External"/><Relationship Id="rId50" Type="http://schemas.openxmlformats.org/officeDocument/2006/relationships/hyperlink" Target="../CERTIFICACIONES%20SAMFOR/CERTIFICACIONES%20ACTUALES/CERTIFICADOS%20DE%20EQUIPOS/MULTIMETRO%2065560064.pdf" TargetMode="External"/><Relationship Id="rId104" Type="http://schemas.openxmlformats.org/officeDocument/2006/relationships/hyperlink" Target="../CERTIFICACIONES%20SAMFOR/CERTIFICACIONES%20ACTUALES/CERTIFICADOS%20EXTINTORES/Bombonas%20CO2%20Bg2.pdf" TargetMode="External"/><Relationship Id="rId125" Type="http://schemas.openxmlformats.org/officeDocument/2006/relationships/hyperlink" Target="../CERTIFICACIONES%20SAMFOR/CERTIFICACIONES%20ACTUALES/CERTIFICADOS%20DE%20HERRAMIENTAS/ARNES%20Y%20CABO%20DE%20VIDA%20SF-ARN-026%20.pdf" TargetMode="External"/><Relationship Id="rId146" Type="http://schemas.openxmlformats.org/officeDocument/2006/relationships/hyperlink" Target="../CERTIFICACIONES%20SAMFOR/CERTIFICACIONES%20ACTUALES/CERTIFICADOS%20DE%20HERRAMIENTAS/GRILLETES%20&#8542;%20x%206&#189;t%20(5)_(5NX-DCH-1,2,3,4)_10-2025.pdf" TargetMode="External"/><Relationship Id="rId167" Type="http://schemas.openxmlformats.org/officeDocument/2006/relationships/hyperlink" Target="../CERTIFICACIONES%20SAMFOR/CERTIFICACIONES%20ACTUALES/CERTIFICADOS%20DE%20MAQUINARIA%20PESADA/DOLLY%20IZAMIENTO%20SKID%20PTB%20GD02%20.pdf" TargetMode="External"/><Relationship Id="rId188" Type="http://schemas.openxmlformats.org/officeDocument/2006/relationships/hyperlink" Target="../CERTIFICACIONES%20SAMFOR/CERTIFICACIONES%20ACTUALES/CERTIFICADOS%20DE%20MAQUINARIA%20PESADA/QUINTA%20RUEDA%20SVP-209.pdf" TargetMode="External"/><Relationship Id="rId311" Type="http://schemas.openxmlformats.org/officeDocument/2006/relationships/hyperlink" Target="../CERTIFICACIONES%20SAMFOR/CERTIFICACIONES%20ACTUALES/CERTIFICADOS%20DE%20EQUIPOS/DETECTOR%20MULTIGAS%20SF-MED-054.pdf" TargetMode="External"/><Relationship Id="rId332" Type="http://schemas.openxmlformats.org/officeDocument/2006/relationships/hyperlink" Target="../CERTIFICACIONES%20SAMFOR/CERTIFICACIONES%20ACTUALES/CERTIFICADOS%20DE%20HERRAMIENTAS/GRILLETES%20(1)%20V51.pdf" TargetMode="External"/><Relationship Id="rId353" Type="http://schemas.openxmlformats.org/officeDocument/2006/relationships/hyperlink" Target="../CERTIFICACIONES%20SAMFOR/CERTIFICACIONES%20ACTUALES/CERTIFICADOS%20DE%20EQUIPOS/GR&#218;A%20DE%20CADENA%20SF-POL-013.pdf" TargetMode="External"/><Relationship Id="rId71" Type="http://schemas.openxmlformats.org/officeDocument/2006/relationships/hyperlink" Target="../CERTIFICACIONES%20SAMFOR/CERTIFICACIONES%20ACTUALES/CERTIFICADOS%20DE%20EQUIPOS/GRUA%20MANUAL%2015071057%20SF-POL-005%20.pdf" TargetMode="External"/><Relationship Id="rId92" Type="http://schemas.openxmlformats.org/officeDocument/2006/relationships/hyperlink" Target="../CERTIFICACIONES%20SAMFOR/CERTIFICACIONES%20ACTUALES/CERTIFICADOS%20EXTINTORES/Certificado%20de%20C02%20BG-1.pdf" TargetMode="External"/><Relationship Id="rId213" Type="http://schemas.openxmlformats.org/officeDocument/2006/relationships/hyperlink" Target="../CERTIFICACIONES%20SAMFOR/CERTIFICACIONES%20ACTUALES/CERTIFICADOS%20DE%20EQUIPOS/MEGGER%20704616.PDF" TargetMode="External"/><Relationship Id="rId234" Type="http://schemas.openxmlformats.org/officeDocument/2006/relationships/hyperlink" Target="../CERTIFICACIONES%20SAMFOR/CERTIFICACIONES%20ACTUALES/CERTIFICADOS%20EXTINTORES/EXTINTOR%20PTBG-015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/CERTIFICACIONES%20SAMFOR/CERTIFICACIONES%20ACTUALES/CERTIFICADOS%20DE%20EQUIPOS/GUANTES%20DIELECTRICO%20CLASS%200%20TIPO%201%204095607B.PDF" TargetMode="External"/><Relationship Id="rId255" Type="http://schemas.openxmlformats.org/officeDocument/2006/relationships/hyperlink" Target="../CERTIFICACIONES%20SAMFOR/CERTIFICACIONES%20ACTUALES/CERTIFICADOS%20EXTINTORES/EXTINTOR%20PTBG-036.pdf" TargetMode="External"/><Relationship Id="rId276" Type="http://schemas.openxmlformats.org/officeDocument/2006/relationships/hyperlink" Target="," TargetMode="External"/><Relationship Id="rId297" Type="http://schemas.openxmlformats.org/officeDocument/2006/relationships/hyperlink" Target="../CERTIFICACIONES%20SAMFOR/CERTIFICACIONES%20ACTUALES/CERTIFICADOS%20DE%20HERRAMIENTAS/GRILLETES%20%207-8%20INCH%204%20UNIDADES.pdf" TargetMode="External"/><Relationship Id="rId40" Type="http://schemas.openxmlformats.org/officeDocument/2006/relationships/hyperlink" Target="../CERTIFICACIONES%20SAMFOR/CERTIFICACIONES%20ACTUALES/CERTIFICADOS%20DE%20EQUIPOS/MAQUINA%20DE%20SOLDAR%20ELECTRICA%20%2012C9K419400100391480056.pdf" TargetMode="External"/><Relationship Id="rId115" Type="http://schemas.openxmlformats.org/officeDocument/2006/relationships/hyperlink" Target="../CERTIFICACIONES%20SAMFOR/CERTIFICACIONES%20ACTUALES/CERTIFICADOS%20DE%20HERRAMIENTAS/ARNES%20SFAR002.PDF" TargetMode="External"/><Relationship Id="rId136" Type="http://schemas.openxmlformats.org/officeDocument/2006/relationships/hyperlink" Target="../CERTIFICACIONES%20SAMFOR/CERTIFICACIONES%20ACTUALES/CERTIFICADOS%20DE%20HERRAMIENTAS/ESLINGA%20SINTETICA%20SF-ESL-035,036,038%20.pdf" TargetMode="External"/><Relationship Id="rId157" Type="http://schemas.openxmlformats.org/officeDocument/2006/relationships/hyperlink" Target="../CERTIFICACIONES%20SAMFOR/CERTIFICACIONES%20ACTUALES/CERTIFICADOS%20DE%20HERRAMIENTAS/SF-743%20CERTIFICADO%20COMPUERTA.pdf" TargetMode="External"/><Relationship Id="rId178" Type="http://schemas.openxmlformats.org/officeDocument/2006/relationships/hyperlink" Target="../CERTIFICACIONES%20SAMFOR/CERTIFICACIONES%20ACTUALES/CERTIFICADOS%20DE%20MAQUINARIA%20PESADA/MANLIFT%20ELEVADOR%20DE%20PERSONAL%20021014-0300022330.pdf" TargetMode="External"/><Relationship Id="rId301" Type="http://schemas.openxmlformats.org/officeDocument/2006/relationships/hyperlink" Target="../CERTIFICACIONES%20SAMFOR/CERTIFICACIONES%20ACTUALES/CERTIFICADOS%20DE%20EQUIPOS/MAQUINA%20DE%20SOLDAR%20%20A-1008401.pdf" TargetMode="External"/><Relationship Id="rId322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43" Type="http://schemas.openxmlformats.org/officeDocument/2006/relationships/hyperlink" Target="../CERTIFICACIONES%20SAMFOR/CERTIFICACIONES%20ACTUALES/CERTIFICADOS%20DE%20HERRAMIENTAS/ARNES%20Y%20CABO%20DE%20VIDA%20SF-ARN-026%20.pdf" TargetMode="External"/><Relationship Id="rId364" Type="http://schemas.openxmlformats.org/officeDocument/2006/relationships/printerSettings" Target="../printerSettings/printerSettings3.bin"/><Relationship Id="rId61" Type="http://schemas.openxmlformats.org/officeDocument/2006/relationships/hyperlink" Target="../CERTIFICACIONES%20SAMFOR/CERTIFICACIONES%20ACTUALES/CERTIFICADOS%20DE%20EQUIPOS/PINZA%20AMPERIMETRICA%2064083149WS%20UCS-E-0081-25.pdf" TargetMode="External"/><Relationship Id="rId82" Type="http://schemas.openxmlformats.org/officeDocument/2006/relationships/hyperlink" Target="../CERTIFICACIONES%20SAMFOR/CERTIFICACIONES%20ACTUALES/CERTIFICADOS%20DE%20EQUIPOS/SONOMETRO%201100778043.PDF" TargetMode="External"/><Relationship Id="rId199" Type="http://schemas.openxmlformats.org/officeDocument/2006/relationships/hyperlink" Target="../CERTIFICACIONES%20SAMFOR/CERTIFICACIONES%20ACTUALES/CERTIFICADOS%20DE%20EQUIPOS/MAQUINA%20DE%20SOLDAR%20ELECTRICA%2012F88673622100391480009.pdf" TargetMode="External"/><Relationship Id="rId203" Type="http://schemas.openxmlformats.org/officeDocument/2006/relationships/hyperlink" Target="../CERTIFICACIONES%20SAMFOR/CERTIFICACIONES%20ACTUALES/CERTIFICADOS%20DE%20HERRAMIENTAS/ESLINGA%20SINT&#201;TICA%20SF%20-ESL-042.PDF" TargetMode="External"/><Relationship Id="rId19" Type="http://schemas.openxmlformats.org/officeDocument/2006/relationships/hyperlink" Target="../CERTIFICACIONES%20SAMFOR/CERTIFICACIONES%20ACTUALES/CERTIFICADOS%20DE%20EQUIPOS/DETECTOR%20DE%20GAS%20SF6%204199.pdf" TargetMode="External"/><Relationship Id="rId224" Type="http://schemas.openxmlformats.org/officeDocument/2006/relationships/hyperlink" Target="../CERTIFICACIONES%20SAMFOR/CERTIFICACIONES%20ACTUALES/CERTIFICADOS%20EXTINTORES/EXTINTOR%20PTBG-005.pdf" TargetMode="External"/><Relationship Id="rId245" Type="http://schemas.openxmlformats.org/officeDocument/2006/relationships/hyperlink" Target="../CERTIFICACIONES%20SAMFOR/CERTIFICACIONES%20ACTUALES/CERTIFICADOS%20EXTINTORES/EXTINTOR%20PTBG-026.pdf" TargetMode="External"/><Relationship Id="rId266" Type="http://schemas.openxmlformats.org/officeDocument/2006/relationships/hyperlink" Target="," TargetMode="External"/><Relationship Id="rId287" Type="http://schemas.openxmlformats.org/officeDocument/2006/relationships/hyperlink" Target="..\CERTIFICACIONES%20SAMFOR\CERTIFICACIONES%20ACTUALES\CERTIFICADOS%20DE%20EQUIPOS\BOMBA%20PARA%20PRUEBA%20HIDRA&#769;ULICA%206920.pdf" TargetMode="External"/><Relationship Id="rId30" Type="http://schemas.openxmlformats.org/officeDocument/2006/relationships/hyperlink" Target="../CERTIFICACIONES%20SAMFOR/CERTIFICACIONES%20ACTUALES/CERTIFICADOS%20DE%20EQUIPOS/GUANTES%20%20DIELECTRICO,%20CLASE%20O%20TIPO%20I%204096511.pdf" TargetMode="External"/><Relationship Id="rId105" Type="http://schemas.openxmlformats.org/officeDocument/2006/relationships/hyperlink" Target="../CERTIFICACIONES%20SAMFOR/CERTIFICACIONES%20ACTUALES/CERTIFICADOS%20EXTINTORES/Bombonas%20CO2%20Bg2.pdf" TargetMode="External"/><Relationship Id="rId126" Type="http://schemas.openxmlformats.org/officeDocument/2006/relationships/hyperlink" Target="../CERTIFICACIONES%20SAMFOR/CERTIFICACIONES%20ACTUALES/CERTIFICADOS%20DE%20HERRAMIENTAS/ARNES%20Y%20CABO%20DE%20VIDA%20SF-ARN-027.pdf" TargetMode="External"/><Relationship Id="rId147" Type="http://schemas.openxmlformats.org/officeDocument/2006/relationships/hyperlink" Target="../CERTIFICACIONES%20SAMFOR/CERTIFICACIONES%20ACTUALES/CERTIFICADOS%20DE%20HERRAMIENTAS/GRILLETES%201&#189;%20x%2017t%20(6)_(DW1-1,2-%20DT7-1,2,3,4)_10-2025.pdf" TargetMode="External"/><Relationship Id="rId168" Type="http://schemas.openxmlformats.org/officeDocument/2006/relationships/hyperlink" Target="../CERTIFICACIONES%20SAMFOR/CERTIFICACIONES%20ACTUALES/CERTIFICADOS%20DE%20MAQUINARIA%20PESADA/GR&#218;A%20MONORRIEL%20ZLG-6087%20PETROBOSCAN.pdf" TargetMode="External"/><Relationship Id="rId312" Type="http://schemas.openxmlformats.org/officeDocument/2006/relationships/hyperlink" Target="../CERTIFICACIONES%20SAMFOR/CERTIFICACIONES%20ACTUALES/CERTIFICADOS%20DE%20EQUIPOS/DETECTOR%20MULTIGAS%20SF-MED-055.pdf" TargetMode="External"/><Relationship Id="rId333" Type="http://schemas.openxmlformats.org/officeDocument/2006/relationships/hyperlink" Target="../CERTIFICACIONES%20SAMFOR/CERTIFICACIONES%20ACTUALES/CERTIFICADOS%20DE%20MAQUINARIA%20PESADA/ELEVADOR%20DE%20PERSONAL" TargetMode="External"/><Relationship Id="rId354" Type="http://schemas.openxmlformats.org/officeDocument/2006/relationships/hyperlink" Target="../CERTIFICACIONES%20SAMFOR/CERTIFICACIONES%20ACTUALES/CERTIFICADOS%20DE%20HERRAMIENTAS/GRILLETES%20(1)" TargetMode="External"/><Relationship Id="rId51" Type="http://schemas.openxmlformats.org/officeDocument/2006/relationships/hyperlink" Target="../CERTIFICACIONES%20SAMFOR/CERTIFICACIONES%20ACTUALES/CERTIFICADOS%20DE%20EQUIPOS/MULTIMETRO%20Y%20MEGGER%2093620040.PDF" TargetMode="External"/><Relationship Id="rId72" Type="http://schemas.openxmlformats.org/officeDocument/2006/relationships/hyperlink" Target="../CERTIFICACIONES%20SAMFOR/CERTIFICACIONES%20ACTUALES/CERTIFICADOS%20DE%20EQUIPOS/GR&#218;A%20DE%20CADENA%20SF-POL-006.pdf" TargetMode="External"/><Relationship Id="rId93" Type="http://schemas.openxmlformats.org/officeDocument/2006/relationships/hyperlink" Target="../CERTIFICACIONES%20SAMFOR/CERTIFICACIONES%20ACTUALES/CERTIFICADOS%20EXTINTORES/Certificado%20de%20C02%20BG-1.pdf" TargetMode="External"/><Relationship Id="rId189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/CERTIFICACIONES%20SAMFOR/CERTIFICACIONES%20ACTUALES/CERTIFICADOS%20DE%20EQUIPOS/MEDIDOR%20DE%20CALIDAD%20DE%20ENERGI&#769;A%20%2067773901.pdf" TargetMode="External"/><Relationship Id="rId235" Type="http://schemas.openxmlformats.org/officeDocument/2006/relationships/hyperlink" Target="../CERTIFICACIONES%20SAMFOR/CERTIFICACIONES%20ACTUALES/CERTIFICADOS%20EXTINTORES/EXTINTOR%20PTBG-016.pdf" TargetMode="External"/><Relationship Id="rId256" Type="http://schemas.openxmlformats.org/officeDocument/2006/relationships/hyperlink" Target="," TargetMode="External"/><Relationship Id="rId277" Type="http://schemas.openxmlformats.org/officeDocument/2006/relationships/hyperlink" Target="," TargetMode="External"/><Relationship Id="rId298" Type="http://schemas.openxmlformats.org/officeDocument/2006/relationships/hyperlink" Target="../CERTIFICACIONES%20SAMFOR/CERTIFICACIONES%20ACTUALES/CERTIFICADOS%20DE%20HERRAMIENTAS/GRILLETES%203-4%20INCH%204%20UNIDADES.pdf" TargetMode="External"/><Relationship Id="rId116" Type="http://schemas.openxmlformats.org/officeDocument/2006/relationships/hyperlink" Target="../CERTIFICACIONES%20SAMFOR/CERTIFICACIONES%20ACTUALES/CERTIFICADOS%20DE%20HERRAMIENTAS/ARN&#201;S%20Y%20CABO%20DE%20VIDA%20005%20007.PDF" TargetMode="External"/><Relationship Id="rId137" Type="http://schemas.openxmlformats.org/officeDocument/2006/relationships/hyperlink" Target="../CERTIFICACIONES%20SAMFOR/CERTIFICACIONES%20ACTUALES/CERTIFICADOS%20DE%20HERRAMIENTAS/ESLINGA%20DE%20IZAMIENTO%20DE%20CARGA2%20X%202%20MTSNARANJA%20092507%20092508%20092509%20092510.pdf" TargetMode="External"/><Relationship Id="rId158" Type="http://schemas.openxmlformats.org/officeDocument/2006/relationships/hyperlink" Target="../CERTIFICACIONES%20SAMFOR/CERTIFICACIONES%20ACTUALES/CERTIFICADOS%20DE%20HERRAMIENTAS/SF-745%20CERTIFICADO%20BOLA.pdf" TargetMode="External"/><Relationship Id="rId302" Type="http://schemas.openxmlformats.org/officeDocument/2006/relationships/hyperlink" Target="../CERTIFICACIONES%20SAMFOR/CERTIFICACIONES%20ACTUALES/CERTIFICADOS%20DE%20HERRAMIENTAS/ARN&#201;S%20Y%20CABO%20DE%20VIDA%20003%20004.PDF" TargetMode="External"/><Relationship Id="rId323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344" Type="http://schemas.openxmlformats.org/officeDocument/2006/relationships/hyperlink" Target="../CERTIFICACIONES%20SAMFOR/CERTIFICACIONES%20ACTUALES/CERTIFICADOS%20DE%20HERRAMIENTAS/ARNES%20Y%20CABO%20DE%20VIDA%20%20SF-ARN-052.pdf" TargetMode="External"/><Relationship Id="rId20" Type="http://schemas.openxmlformats.org/officeDocument/2006/relationships/hyperlink" Target="../CERTIFICACIONES%20SAMFOR/CERTIFICACIONES%20ACTUALES/CERTIFICADOS%20DE%20EQUIPOS/DETECTOR%20MULTIGAS%2020240121051.pdf" TargetMode="External"/><Relationship Id="rId41" Type="http://schemas.openxmlformats.org/officeDocument/2006/relationships/hyperlink" Target="../CERTIFICACIONES%20SAMFOR/CERTIFICACIONES%20ACTUALES/CERTIFICADOS%20DE%20EQUIPOS/MEGGER%20Y%20MULTIMETRO%20110870SADV.pdf" TargetMode="External"/><Relationship Id="rId62" Type="http://schemas.openxmlformats.org/officeDocument/2006/relationships/hyperlink" Target="../CERTIFICACIONES%20SAMFOR/CERTIFICACIONES%20ACTUALES/CERTIFICADOS%20DE%20EQUIPOS/PINZA%20AMPERIMETRICA%201308640099.PDF" TargetMode="External"/><Relationship Id="rId83" Type="http://schemas.openxmlformats.org/officeDocument/2006/relationships/hyperlink" Target="../CERTIFICACIONES%20SAMFOR/CERTIFICACIONES%20ACTUALES/CERTIFICADOS%20EXTINTORES/Certificado%20de%20C02%20BG-1.pdf" TargetMode="External"/><Relationship Id="rId17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190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204" Type="http://schemas.openxmlformats.org/officeDocument/2006/relationships/hyperlink" Target="../CERTIFICACIONES%20SAMFOR/CERTIFICACIONES%20ACTUALES/CERTIFICADOS%20DE%20HERRAMIENTAS/ESLINGA%20SINT&#201;TICA%20SF-ESL-078.PDF" TargetMode="External"/><Relationship Id="rId225" Type="http://schemas.openxmlformats.org/officeDocument/2006/relationships/hyperlink" Target="../CERTIFICACIONES%20SAMFOR/CERTIFICACIONES%20ACTUALES/CERTIFICADOS%20EXTINTORES/EXTINTOR%20PTBG-006.pdf" TargetMode="External"/><Relationship Id="rId246" Type="http://schemas.openxmlformats.org/officeDocument/2006/relationships/hyperlink" Target="../CERTIFICACIONES%20SAMFOR/CERTIFICACIONES%20ACTUALES/CERTIFICADOS%20EXTINTORES/EXTINTOR%20PTBG-027.pdf" TargetMode="External"/><Relationship Id="rId267" Type="http://schemas.openxmlformats.org/officeDocument/2006/relationships/hyperlink" Target="," TargetMode="External"/><Relationship Id="rId288" Type="http://schemas.openxmlformats.org/officeDocument/2006/relationships/hyperlink" Target="../CERTIFICACIONES%20SAMFOR/CERTIFICACIONES%20ACTUALES/CERTIFICADOS%20DE%20EQUIPOS/BOMBA%20NEUMATICA%20239466.pdf" TargetMode="External"/><Relationship Id="rId106" Type="http://schemas.openxmlformats.org/officeDocument/2006/relationships/hyperlink" Target="../CERTIFICACIONES%20SAMFOR/CERTIFICACIONES%20ACTUALES/CERTIFICADOS%20EXTINTORES/Bombonas%20CO2%20Bg2.pdf" TargetMode="External"/><Relationship Id="rId127" Type="http://schemas.openxmlformats.org/officeDocument/2006/relationships/hyperlink" Target="../CERTIFICACIONES%20SAMFOR/CERTIFICACIONES%20ACTUALES/CERTIFICADOS%20DE%20HERRAMIENTAS/ARNES%20Y%20CABO%20DE%20VIDA%20SF-ARN-028.pdf" TargetMode="External"/><Relationship Id="rId313" Type="http://schemas.openxmlformats.org/officeDocument/2006/relationships/hyperlink" Target="about:blank" TargetMode="External"/><Relationship Id="rId10" Type="http://schemas.openxmlformats.org/officeDocument/2006/relationships/hyperlink" Target="../CERTIFICACIONES%20SAMFOR/CERTIFICACIONES%20ACTUALES/CERTIFICADOS%20DE%20EQUIPOS/BOMBA%20NEUMATICA%20239466.pdf" TargetMode="External"/><Relationship Id="rId31" Type="http://schemas.openxmlformats.org/officeDocument/2006/relationships/hyperlink" Target="../CERTIFICACIONES%20SAMFOR/CERTIFICACIONES%20ACTUALES/CERTIFICADOS%20DE%20EQUIPOS/GUANTE%20DIEL&#201;CTRICO%20CLASS%2000%20TIPO%201%20C0010%20F0041F.PDF" TargetMode="External"/><Relationship Id="rId52" Type="http://schemas.openxmlformats.org/officeDocument/2006/relationships/hyperlink" Target="../CERTIFICACIONES%20SAMFOR/CERTIFICACIONES%20ACTUALES/CERTIFICADOS%20DE%20EQUIPOS/PERTIGA%20ELECTRICA%20BRAZO%20MECANICO%20SF-PER-001.PDF" TargetMode="External"/><Relationship Id="rId73" Type="http://schemas.openxmlformats.org/officeDocument/2006/relationships/hyperlink" Target="../CERTIFICACIONES%20SAMFOR/CERTIFICACIONES%20ACTUALES/CERTIFICADOS%20DE%20EQUIPOS/GRUA%20MANUAL%20F00010%20SAMFOR%20.pdf" TargetMode="External"/><Relationship Id="rId94" Type="http://schemas.openxmlformats.org/officeDocument/2006/relationships/hyperlink" Target="../CERTIFICACIONES%20SAMFOR/CERTIFICACIONES%20ACTUALES/CERTIFICADOS%20EXTINTORES/Certificado%20de%20C02%20BG-1.pdf" TargetMode="External"/><Relationship Id="rId148" Type="http://schemas.openxmlformats.org/officeDocument/2006/relationships/hyperlink" Target="../CERTIFICACIONES%20SAMFOR/CERTIFICACIONES%20ACTUALES/CERTIFICADOS%20DE%20HERRAMIENTAS/GRILLETES%201-2%20INCH%204%20UNIDADES%20.pdf" TargetMode="External"/><Relationship Id="rId169" Type="http://schemas.openxmlformats.org/officeDocument/2006/relationships/hyperlink" Target="../CERTIFICACIONES%20SAMFOR/CERTIFICACIONES%20ACTUALES/CERTIFICADOS%20DE%20MAQUINARIA%20PESADA/GRUA%20MONORRIEL%20%20ZLG-6143.PDF" TargetMode="External"/><Relationship Id="rId334" Type="http://schemas.openxmlformats.org/officeDocument/2006/relationships/hyperlink" Target="../CERTIFICACIONES%20SAMFOR/CERTIFICACIONES%20ACTUALES/CERTIFICADOS%20DE%20EQUIPOS/GRU&#769;A%20TELESCO&#769;PICA%2081742%2030T.pdf" TargetMode="External"/><Relationship Id="rId355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4" Type="http://schemas.openxmlformats.org/officeDocument/2006/relationships/hyperlink" Target="," TargetMode="External"/><Relationship Id="rId180" Type="http://schemas.openxmlformats.org/officeDocument/2006/relationships/hyperlink" Target="../CERTIFICACIONES%20SAMFOR/CERTIFICACIONES%20ACTUALES/CERTIFICADOS%20DE%20MAQUINARIA%20PESADA/QUINTA%20RUEDA%20C06004862T%20SVP163%20.pdf" TargetMode="External"/><Relationship Id="rId215" Type="http://schemas.openxmlformats.org/officeDocument/2006/relationships/hyperlink" Target="../CERTIFICACIONES%20SAMFOR/CERTIFICACIONES%20OBSOLETAS/CERTIFICADOS%20DE%20HERRAMIENTAS/ESLINGAS%20NUEVAS%20092503%20092504%20092505%20092506.PDF" TargetMode="External"/><Relationship Id="rId236" Type="http://schemas.openxmlformats.org/officeDocument/2006/relationships/hyperlink" Target="../CERTIFICACIONES%20SAMFOR/CERTIFICACIONES%20ACTUALES/CERTIFICADOS%20EXTINTORES/EXTINTOR%20PTBG-017.pdf" TargetMode="External"/><Relationship Id="rId257" Type="http://schemas.openxmlformats.org/officeDocument/2006/relationships/hyperlink" Target="," TargetMode="External"/><Relationship Id="rId278" Type="http://schemas.openxmlformats.org/officeDocument/2006/relationships/hyperlink" Target="../CERTIFICACIONES%20SAMFOR/CERTIFICACIONES%20ACTUALES/CERTIFICADOS%20DE%20MAQUINARIA%20PESADA/GRUA%20TELESC&#211;PICA%204085135%20(ESLINGAS%20Y%20GUAYAS).pdf" TargetMode="External"/><Relationship Id="rId303" Type="http://schemas.openxmlformats.org/officeDocument/2006/relationships/hyperlink" Target="../CERTIFICACIONES%20SAMFOR/CERTIFICACIONES%20ACTUALES/CERTIFICADOS%20DE%20EQUIPOS/TORQUIMETRO%201-2%20H5%205240202433.pdf" TargetMode="External"/><Relationship Id="rId42" Type="http://schemas.openxmlformats.org/officeDocument/2006/relationships/hyperlink" Target="../CERTIFICACIONES%20SAMFOR/CERTIFICACIONES%20ACTUALES/CERTIFICADOS%20DE%20EQUIPOS/MODULO%20DE%20PRESION%206269278.pdf" TargetMode="External"/><Relationship Id="rId84" Type="http://schemas.openxmlformats.org/officeDocument/2006/relationships/hyperlink" Target="../CERTIFICACIONES%20SAMFOR/CERTIFICACIONES%20ACTUALES/CERTIFICADOS%20EXTINTORES/Certificado%20de%20C02%20BG-1.pdf" TargetMode="External"/><Relationship Id="rId138" Type="http://schemas.openxmlformats.org/officeDocument/2006/relationships/hyperlink" Target="../CERTIFICACIONES%20SAMFOR/CERTIFICACIONES%20ACTUALES/CERTIFICADOS%20DE%20HERRAMIENTAS/ESLINGA%20SINTETICA%20SF-ESL-043%20SAMFOR%20.pdf" TargetMode="External"/><Relationship Id="rId345" Type="http://schemas.openxmlformats.org/officeDocument/2006/relationships/hyperlink" Target="../CERTIFICACIONES%20SAMFOR/CERTIFICACIONES%20ACTUALES/CERTIFICADOS%20DE%20HERRAMIENTAS/ARNES%20Y%20CABO%20DE%20VIDA%20%20SF-ARN-053.pdf" TargetMode="External"/><Relationship Id="rId191" Type="http://schemas.openxmlformats.org/officeDocument/2006/relationships/hyperlink" Target="../CERTIFICACIONES%20SAMFOR/CERTIFICACIONES%20ACTUALES/CERTIFICADOS%20DE%20HERRAMIENTAS/ESLINGA%20SINTETICA%204%20x%206m%20(1)%20SF-ESL-066.pdf" TargetMode="External"/><Relationship Id="rId205" Type="http://schemas.openxmlformats.org/officeDocument/2006/relationships/hyperlink" Target="../CERTIFICACIONES%20SAMFOR/CERTIFICACIONES%20ACTUALES/CERTIFICADOS%20DE%20HERRAMIENTAS/ESLINGA%20SINT&#201;TICA%20SF-ESL-079.PDF" TargetMode="External"/><Relationship Id="rId247" Type="http://schemas.openxmlformats.org/officeDocument/2006/relationships/hyperlink" Target="../CERTIFICACIONES%20SAMFOR/CERTIFICACIONES%20ACTUALES/CERTIFICADOS%20EXTINTORES/EXTINTOR%20PTBG-028.pdf" TargetMode="External"/><Relationship Id="rId107" Type="http://schemas.openxmlformats.org/officeDocument/2006/relationships/hyperlink" Target="../CERTIFICACIONES%20SAMFOR/CERTIFICACIONES%20ACTUALES/CERTIFICADOS%20EXTINTORES/Bombonas%20CO2%20Bg2.pdf" TargetMode="External"/><Relationship Id="rId289" Type="http://schemas.openxmlformats.org/officeDocument/2006/relationships/hyperlink" Target="../CERTIFICACIONES%20SAMFOR/CERTIFICACIONES%20ACTUALES/CERTIFICADOS%20DE%20EQUIPOS/COMUNICADOR%20DE%20CAMPO%207130409.pdf" TargetMode="External"/><Relationship Id="rId11" Type="http://schemas.openxmlformats.org/officeDocument/2006/relationships/hyperlink" Target="../CERTIFICACIONES%20SAMFOR/CERTIFICACIONES%20ACTUALES/CERTIFICADOS%20DE%20EQUIPOS/CABLE%20PUESTA%20A%20TIERRA%20TEMPORARIA%2061138.pdf" TargetMode="External"/><Relationship Id="rId53" Type="http://schemas.openxmlformats.org/officeDocument/2006/relationships/hyperlink" Target="../CERTIFICACIONES%20SAMFOR/CERTIFICACIONES%20ACTUALES/CERTIFICADOS%20DE%20EQUIPOS/PERTIGA%20TELESCOPICA%20TRIANGULAR%20SF-PERT-001.PDF" TargetMode="External"/><Relationship Id="rId149" Type="http://schemas.openxmlformats.org/officeDocument/2006/relationships/hyperlink" Target="../CERTIFICACIONES%20SAMFOR/CERTIFICACIONES%20ACTUALES/CERTIFICADOS%20DE%20HERRAMIENTAS/GRILLETES%205-8%204%20%20UNIDADES%20(LF-1,2,3,4).pdf" TargetMode="External"/><Relationship Id="rId314" Type="http://schemas.openxmlformats.org/officeDocument/2006/relationships/hyperlink" Target="../CERTIFICACIONES%20SAMFOR/CERTIFICACIONES%20ACTUALES/CERTIFICADOS%20DE%20EQUIPOS/GRUA%20DE%20CADENA%20%20SF-POL-011.pdf" TargetMode="External"/><Relationship Id="rId356" Type="http://schemas.openxmlformats.org/officeDocument/2006/relationships/hyperlink" Target="../CERTIFICACIONES%20SAMFOR/CERTIFICACIONES%20ACTUALES/CERTIFICADOS%20DE%20EQUIPOS/MANOMETRO%20DIGITAL%20030250050090.PDF" TargetMode="External"/><Relationship Id="rId95" Type="http://schemas.openxmlformats.org/officeDocument/2006/relationships/hyperlink" Target="../CERTIFICACIONES%20SAMFOR/CERTIFICACIONES%20ACTUALES/CERTIFICADOS%20EXTINTORES/Certificado%20de%20C02%20BG-1.pdf" TargetMode="External"/><Relationship Id="rId160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216" Type="http://schemas.openxmlformats.org/officeDocument/2006/relationships/hyperlink" Target="../CERTIFICACIONES%20SAMFOR/CERTIFICACIONES%20ACTUALES/CERTIFICADOS%20DE%20EQUIPOS/GUANTES%20%20DIELECTRICO,%20CLASE%20O%20TIPO%20I%20%204095607A.pdf" TargetMode="External"/><Relationship Id="rId258" Type="http://schemas.openxmlformats.org/officeDocument/2006/relationships/hyperlink" Target="," TargetMode="External"/><Relationship Id="rId22" Type="http://schemas.openxmlformats.org/officeDocument/2006/relationships/hyperlink" Target="../CERTIFICACIONES%20SAMFOR/CERTIFICACIONES%20ACTUALES/CERTIFICADOS%20DE%20EQUIPOS/DETECTOR%20MULTIGAS%20N20230820382.PDF" TargetMode="External"/><Relationship Id="rId64" Type="http://schemas.openxmlformats.org/officeDocument/2006/relationships/hyperlink" Target="../certificaciones%20samfor/CERTIFICACIONES%20ACTUALES/CERTIFICADOS%20DE%20EQUIPOS/PINZA%20AMPERIMETRICA%208-555725.pdf" TargetMode="External"/><Relationship Id="rId118" Type="http://schemas.openxmlformats.org/officeDocument/2006/relationships/hyperlink" Target="../CERTIFICACIONES%20SAMFOR/CERTIFICACIONES%20ACTUALES/CERTIFICADOS%20DE%20HERRAMIENTAS/ARNES%20Y%20CABO%20DE%20VIDA%20012,013%20014,%20015,%20016,%20017,%20018.pdf" TargetMode="External"/><Relationship Id="rId325" Type="http://schemas.openxmlformats.org/officeDocument/2006/relationships/hyperlink" Target="../CERTIFICACIONES%20SAMFOR/CERTIFICACIONES%20ACTUALES/CERTIFICADOS%20DE%20MAQUINARIA%20PESADA/IZAMIENTO%20LIFT%20FIXTURE%20SF-LF-002%20.pdf" TargetMode="External"/><Relationship Id="rId171" Type="http://schemas.openxmlformats.org/officeDocument/2006/relationships/hyperlink" Target="../CERTIFICACIONES%20SAMFOR/CERTIFICACIONES%20ACTUALES/CERTIFICADOS%20DE%20MAQUINARIA%20PESADA/GRUA%20MONORRIEL%20BG1%20ZLG-6087.pdf" TargetMode="External"/><Relationship Id="rId227" Type="http://schemas.openxmlformats.org/officeDocument/2006/relationships/hyperlink" Target="../CERTIFICACIONES%20SAMFOR/CERTIFICACIONES%20ACTUALES/CERTIFICADOS%20EXTINTORES/EXTINTOR%20PTBG-008.pdf" TargetMode="External"/><Relationship Id="rId269" Type="http://schemas.openxmlformats.org/officeDocument/2006/relationships/hyperlink" Target="," TargetMode="External"/><Relationship Id="rId33" Type="http://schemas.openxmlformats.org/officeDocument/2006/relationships/hyperlink" Target="../CERTIFICACIONES%20SAMFOR/CERTIFICACIONES%20ACTUALES/CERTIFICADOS%20DE%20EQUIPOS/GUANTES%20DIEL&#201;CTRICO%20S%205332860%205332859.PDF" TargetMode="External"/><Relationship Id="rId129" Type="http://schemas.openxmlformats.org/officeDocument/2006/relationships/hyperlink" Target="../CERTIFICACIONES%20SAMFOR/CERTIFICACIONES%20ACTUALES/CERTIFICADOS%20DE%20HERRAMIENTAS/ARNES%20Y%20CABO%20DE%20VIDA%20020-022.pdf" TargetMode="External"/><Relationship Id="rId280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336" Type="http://schemas.openxmlformats.org/officeDocument/2006/relationships/hyperlink" Target="../CERTIFICACIONES%20SAMFOR/CERTIFICACIONES%20ACTUALES/CERTIFICADOS%20DE%20HERRAMIENTAS/ARNES%20Y%20CABO%20DE%20VIDA%20SF-ARN-026%20.pdf" TargetMode="External"/><Relationship Id="rId75" Type="http://schemas.openxmlformats.org/officeDocument/2006/relationships/hyperlink" Target="../CERTIFICACIONES%20SAMFOR/CERTIFICACIONES%20ACTUALES/CERTIFICADOS%20DE%20EQUIPOS/GRUA%20MANUAL%20VB0001.pdf" TargetMode="External"/><Relationship Id="rId140" Type="http://schemas.openxmlformats.org/officeDocument/2006/relationships/hyperlink" Target="../CERTIFICACIONES%20SAMFOR/CERTIFICACIONES%20ACTUALES/CERTIFICADOS%20DE%20HERRAMIENTAS/25324%20ESLINGA%20MODELO%2011%20DE%2025.40%20MM%201_X%20300%20MTS%20DE%20CABLE%20DE%20ACERO%20AM%20AA%20ARD%20180%20050400055A.pdf" TargetMode="External"/><Relationship Id="rId182" Type="http://schemas.openxmlformats.org/officeDocument/2006/relationships/hyperlink" Target="../CERTIFICACIONES%20SAMFOR/CERTIFICACIONES%20ACTUALES/CERTIFICADOS%20DE%20MAQUINARIA%20PESADA/RETROEXCAVADORA%20SERIAL%20TO310JX161698.pdf" TargetMode="External"/><Relationship Id="rId6" Type="http://schemas.openxmlformats.org/officeDocument/2006/relationships/hyperlink" Target="," TargetMode="External"/><Relationship Id="rId238" Type="http://schemas.openxmlformats.org/officeDocument/2006/relationships/hyperlink" Target="../CERTIFICACIONES%20SAMFOR/CERTIFICACIONES%20ACTUALES/CERTIFICADOS%20EXTINTORES/EXTINTOR%20PTBG-019.pdf" TargetMode="External"/><Relationship Id="rId291" Type="http://schemas.openxmlformats.org/officeDocument/2006/relationships/hyperlink" Target="../CERTIFICACIONES%20SAMFOR/CERTIFICACIONES%20ACTUALES/CERTIFICADOS%20DE%20HERRAMIENTAS/ESLINGA%20SINT&#201;TICA%20SF-ESL-081.pdf" TargetMode="External"/><Relationship Id="rId305" Type="http://schemas.openxmlformats.org/officeDocument/2006/relationships/hyperlink" Target="../CERTIFICACIONES%20SAMFOR/CERTIFICACIONES%20ACTUALES/CERTIFICADOS%20DE%20EQUIPOS/TORQUIMETRO%201-2%20L5%205240301607.pdf" TargetMode="External"/><Relationship Id="rId347" Type="http://schemas.openxmlformats.org/officeDocument/2006/relationships/hyperlink" Target="../CERTIFICACIONES%20SAMFOR/CERTIFICACIONES%20ACTUALES/CERTIFICADOS%20DE%20HERRAMIENTAS/ARNES%20Y%20CABO%20DE%20VIDA%20%20SF-ARN-055.pdf" TargetMode="External"/><Relationship Id="rId44" Type="http://schemas.openxmlformats.org/officeDocument/2006/relationships/hyperlink" Target="../CERTIFICACIONES%20SAMFOR/CERTIFICACIONES%20ACTUALES/CERTIFICADOS%20DE%20EQUIPOS/MULTIMETRO%20C232601608%20SF-MED-030%20.pdf" TargetMode="External"/><Relationship Id="rId86" Type="http://schemas.openxmlformats.org/officeDocument/2006/relationships/hyperlink" Target="../CERTIFICACIONES%20SAMFOR/CERTIFICACIONES%20ACTUALES/CERTIFICADOS%20EXTINTORES/Certificado%20de%20C02%20BG-1.pdf" TargetMode="External"/><Relationship Id="rId151" Type="http://schemas.openxmlformats.org/officeDocument/2006/relationships/hyperlink" Target="../CERTIFICACIONES%20SAMFOR/CERTIFICACIONES%20ACTUALES/CERTIFICADOS%20DE%20HERRAMIENTAS/SOPORTE%20AJUSTABLE%20Y%20FIJO%207T.pdf" TargetMode="External"/><Relationship Id="rId193" Type="http://schemas.openxmlformats.org/officeDocument/2006/relationships/hyperlink" Target="../CERTIFICACIONES%20SAMFOR/CERTIFICACIONES%20ACTUALES/CERTIFICADOS%20DE%20HERRAMIENTAS/ESLINGAS%20DE%20IZAMIENTO%204,7&#8221;%20X%20120%20MM%20SF-E.pdf" TargetMode="External"/><Relationship Id="rId207" Type="http://schemas.openxmlformats.org/officeDocument/2006/relationships/hyperlink" Target="../CERTIFICACIONES%20SAMFOR/CERTIFICACIONES%20ACTUALES/CERTIFICADOS%20DE%20HERRAMIENTAS/ESLINGA%20SINTETICA%20SF-ESL-019%20SAMFOR.pdf" TargetMode="External"/><Relationship Id="rId249" Type="http://schemas.openxmlformats.org/officeDocument/2006/relationships/hyperlink" Target="../CERTIFICACIONES%20SAMFOR/CERTIFICACIONES%20ACTUALES/CERTIFICADOS%20EXTINTORES/EXTINTOR%20PTBG-030.pdf" TargetMode="External"/><Relationship Id="rId13" Type="http://schemas.openxmlformats.org/officeDocument/2006/relationships/hyperlink" Target="../CERTIFICACIONES%20SAMFOR/CERTIFICACIONES%20ACTUALES/CERTIFICADOS%20DE%20EQUIPOS/CALIBRADOR%20DE%20TEMPERATURA%2040826.PDF" TargetMode="External"/><Relationship Id="rId109" Type="http://schemas.openxmlformats.org/officeDocument/2006/relationships/hyperlink" Target="../CERTIFICACIONES%20SAMFOR/CERTIFICACIONES%20ACTUALES/CERTIFICADOS%20EXTINTORES/Bombonas%20CO2%20Bg2.pdf" TargetMode="External"/><Relationship Id="rId260" Type="http://schemas.openxmlformats.org/officeDocument/2006/relationships/hyperlink" Target="," TargetMode="External"/><Relationship Id="rId316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55" Type="http://schemas.openxmlformats.org/officeDocument/2006/relationships/hyperlink" Target="../CERTIFICACIONES%20SAMFOR/CERTIFICACIONES%20ACTUALES/CERTIFICADOS%20DE%20EQUIPOS/PINZA%20AMPERIMETRICA%2064780046WS.pdf" TargetMode="External"/><Relationship Id="rId97" Type="http://schemas.openxmlformats.org/officeDocument/2006/relationships/hyperlink" Target="../CERTIFICACIONES%20SAMFOR/CERTIFICACIONES%20ACTUALES/CERTIFICADOS%20EXTINTORES/Bombonas%20CO2%20Bg2.pdf" TargetMode="External"/><Relationship Id="rId120" Type="http://schemas.openxmlformats.org/officeDocument/2006/relationships/hyperlink" Target="../CERTIFICACIONES%20SAMFOR/CERTIFICACIONES%20ACTUALES/CERTIFICADOS%20DE%20HERRAMIENTAS/ARNES%20Y%20CABO%20DE%20VIDA%20020-022.pdf" TargetMode="External"/><Relationship Id="rId358" Type="http://schemas.openxmlformats.org/officeDocument/2006/relationships/hyperlink" Target="../CERTIFICACIONES%20SAMFOR/CERTIFICACIONES%20ACTUALES/CERTIFICADOS%20DE%20EQUIPOS/TORQUIMETRO%20DE%2014%20SF-T-01%20353992301%20PITTSBURGH%20PRO.PDF" TargetMode="External"/><Relationship Id="rId162" Type="http://schemas.openxmlformats.org/officeDocument/2006/relationships/hyperlink" Target="../CERTIFICACIONES%20SAMFOR/CERTIFICACIONES%20ACTUALES/CERTIFICADOS%20DE%20HERRAMIENTAS/VALVULAS%20DE%20SEGURIDAD%20BG-2/CERTIFICADO%20SF-624.pdf" TargetMode="External"/><Relationship Id="rId218" Type="http://schemas.openxmlformats.org/officeDocument/2006/relationships/hyperlink" Target="../CERTIFICACIONES%20SAMFOR/CERTIFICACIONES%20ACTUALES/CERTIFICADOS%20DE%20EQUIPOS/GUANTES%20%20DIELECTRICO,%20CLASE%20O%20TIPO%20I%204122176%20.pdf" TargetMode="External"/><Relationship Id="rId271" Type="http://schemas.openxmlformats.org/officeDocument/2006/relationships/hyperlink" Target="," TargetMode="External"/><Relationship Id="rId24" Type="http://schemas.openxmlformats.org/officeDocument/2006/relationships/hyperlink" Target="../CERTIFICACIONES%20SAMFOR/CERTIFICACIONES%20ACTUALES/CERTIFICADOS%20DE%20EQUIPOS/DTX-1800%201665023.pdf" TargetMode="External"/><Relationship Id="rId66" Type="http://schemas.openxmlformats.org/officeDocument/2006/relationships/hyperlink" Target="../CERTIFICACIONES%20SAMFOR/CERTIFICACIONES%20ACTUALES/CERTIFICADOS%20DE%20EQUIPOS/GR&#218;A%20DE%20CADENA%20%20SF-POL-010.pdf" TargetMode="External"/><Relationship Id="rId131" Type="http://schemas.openxmlformats.org/officeDocument/2006/relationships/hyperlink" Target="../CERTIFICACIONES%20SAMFOR/CERTIFICACIONES%20ACTUALES/CERTIFICADOS%20DE%20HERRAMIENTAS/ESLINGA%20SINTETICA%20SF-ESL-017%20SAMFOR.pdf" TargetMode="External"/><Relationship Id="rId327" Type="http://schemas.openxmlformats.org/officeDocument/2006/relationships/hyperlink" Target="../CERTIFICACIONES%20SAMFOR/CERTIFICACIONES%20ACTUALES/CERTIFICADOS%20DE%20HERRAMIENTAS/GRILLETES%20JW219-JW220%20.pdf" TargetMode="External"/><Relationship Id="rId173" Type="http://schemas.openxmlformats.org/officeDocument/2006/relationships/hyperlink" Target="../CERTIFICACIONES%20SAMFOR/CERTIFICACIONES%20ACTUALES/CERTIFICADOS%20DE%20MAQUINARIA%20PESADA/TROLLEY%20(Ajustable)%20SF-TRO-001.pdf" TargetMode="External"/><Relationship Id="rId229" Type="http://schemas.openxmlformats.org/officeDocument/2006/relationships/hyperlink" Target="../CERTIFICACIONES%20SAMFOR/CERTIFICACIONES%20ACTUALES/CERTIFICADOS%20EXTINTORES/EXTINTOR%20PTBG-010.pdf" TargetMode="External"/><Relationship Id="rId240" Type="http://schemas.openxmlformats.org/officeDocument/2006/relationships/hyperlink" Target="../CERTIFICACIONES%20SAMFOR/CERTIFICACIONES%20ACTUALES/CERTIFICADOS%20EXTINTORES/EXTINTOR%20PTBG-021.pdf" TargetMode="External"/><Relationship Id="rId35" Type="http://schemas.openxmlformats.org/officeDocument/2006/relationships/hyperlink" Target="../CERTIFICACIONES%20SAMFOR/CERTIFICACIONES%20ACTUALES/CERTIFICADOS%20DE%20EQUIPOS/GUANTES%20DIELECTRICOS%204588835-4593382.pdf" TargetMode="External"/><Relationship Id="rId77" Type="http://schemas.openxmlformats.org/officeDocument/2006/relationships/hyperlink" Target="../CERTIFICACIONES%20SAMFOR/CERTIFICACIONES%20ACTUALES/CERTIFICADOS%20DE%20EQUIPOS/GRUA%20MANUAL%20VB0002%20.pdf" TargetMode="External"/><Relationship Id="rId100" Type="http://schemas.openxmlformats.org/officeDocument/2006/relationships/hyperlink" Target="../CERTIFICACIONES%20SAMFOR/CERTIFICACIONES%20ACTUALES/CERTIFICADOS%20EXTINTORES/Bombonas%20CO2%20Bg2.pdf" TargetMode="External"/><Relationship Id="rId282" Type="http://schemas.openxmlformats.org/officeDocument/2006/relationships/hyperlink" Target="../CERTIFICACIONES%20SAMFOR/CERTIFICACIONES%20ACTUALES/CERTIFICADOS%20DE%20MAQUINARIA%20PESADA/MONTACARGAS%204FDK160-50274.pdf" TargetMode="External"/><Relationship Id="rId338" Type="http://schemas.openxmlformats.org/officeDocument/2006/relationships/hyperlink" Target="../CERTIFICACIONES%20SAMFOR/CERTIFICACIONES%20ACTUALES/CERTIFICADOS%20DE%20HERRAMIENTAS/ARNES%20Y%20CABO%20DE%20VIDA%20SF-ARN-026%20.pdf" TargetMode="External"/><Relationship Id="rId8" Type="http://schemas.openxmlformats.org/officeDocument/2006/relationships/hyperlink" Target="../CERTIFICACIONES%20SAMFOR/CERTIFICACIONES%20ACTUALES/CERTIFICADOS%20DE%20EQUIPOS/BOMBA%20NEUMATICA%206549329.pdf" TargetMode="External"/><Relationship Id="rId142" Type="http://schemas.openxmlformats.org/officeDocument/2006/relationships/hyperlink" Target="../CERTIFICACIONES%20SAMFOR/CERTIFICACIONES%20ACTUALES/CERTIFICADOS%20DE%20HERRAMIENTAS/ESLINGA%20DE%20ACERO%20SF-ESLA-002AB.pdf" TargetMode="External"/><Relationship Id="rId184" Type="http://schemas.openxmlformats.org/officeDocument/2006/relationships/hyperlink" Target="../CERTIFICACIONES%20SAMFOR/CERTIFICACIONES%20ACTUALES/CERTIFICADOS%20DE%20HERRAMIENTAS/ESLINGAS%20(1INCH%20x1M)%20492504%20492505%20493506.pdf" TargetMode="External"/><Relationship Id="rId251" Type="http://schemas.openxmlformats.org/officeDocument/2006/relationships/hyperlink" Target="../CERTIFICACIONES%20SAMFOR/CERTIFICACIONES%20ACTUALES/CERTIFICADOS%20EXTINTORES/EXTINTOR%20PTBG-032.pdf" TargetMode="External"/><Relationship Id="rId46" Type="http://schemas.openxmlformats.org/officeDocument/2006/relationships/hyperlink" Target="../CERTIFICACIONES%20SAMFOR/CERTIFICACIONES%20ACTUALES/CERTIFICADOS%20DE%20EQUIPOS/MULTIMETRO%20DIGITAL%2062220102MV%20.pdf" TargetMode="External"/><Relationship Id="rId293" Type="http://schemas.openxmlformats.org/officeDocument/2006/relationships/hyperlink" Target="../CERTIFICACIONES%20SAMFOR/CERTIFICACIONES%20ACTUALES/CERTIFICADOS%20DE%20HERRAMIENTAS/ESLINGA%20DE%20ACERO%20SF-ESLA-004.pdf" TargetMode="External"/><Relationship Id="rId307" Type="http://schemas.openxmlformats.org/officeDocument/2006/relationships/hyperlink" Target="../CERTIFICACIONES%20SAMFOR/CERTIFICACIONES%20ACTUALES/CERTIFICADOS%20DE%20EQUIPOS/TORQUIMETRO%201-4%20H5%205040202197.pdf" TargetMode="External"/><Relationship Id="rId349" Type="http://schemas.openxmlformats.org/officeDocument/2006/relationships/hyperlink" Target="../CERTIFICACIONES%20SAMFOR/CERTIFICACIONES%20ACTUALES/CERTIFICADOS%20DE%20HERRAMIENTAS/ARNES%20Y%20CABO%20DE%20VIDA%20%20SF-ARN-057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B1112"/>
  <sheetViews>
    <sheetView showGridLines="0" tabSelected="1" view="pageBreakPreview" topLeftCell="G153" zoomScale="70" zoomScaleNormal="80" zoomScaleSheetLayoutView="70" workbookViewId="0">
      <selection activeCell="L164" sqref="L164"/>
    </sheetView>
  </sheetViews>
  <sheetFormatPr defaultColWidth="14.42578125" defaultRowHeight="15" customHeight="1" x14ac:dyDescent="0.25"/>
  <cols>
    <col min="1" max="2" width="5.5703125" customWidth="1"/>
    <col min="3" max="4" width="28.5703125" customWidth="1"/>
    <col min="5" max="5" width="19.28515625" customWidth="1"/>
    <col min="6" max="6" width="50.7109375" style="87" customWidth="1"/>
    <col min="7" max="7" width="26.140625" customWidth="1"/>
    <col min="8" max="8" width="20.85546875" customWidth="1"/>
    <col min="9" max="9" width="26.28515625" style="45" customWidth="1"/>
    <col min="10" max="12" width="32.140625" style="45" customWidth="1"/>
    <col min="13" max="13" width="23.28515625" customWidth="1"/>
    <col min="14" max="14" width="32.7109375" customWidth="1"/>
    <col min="15" max="15" width="19.7109375" customWidth="1"/>
    <col min="16" max="16" width="22.28515625" customWidth="1"/>
    <col min="17" max="17" width="17" customWidth="1"/>
    <col min="18" max="18" width="49.7109375" customWidth="1"/>
    <col min="19" max="19" width="20.7109375" customWidth="1"/>
    <col min="20" max="28" width="10.7109375" customWidth="1"/>
  </cols>
  <sheetData>
    <row r="1" spans="1:28" ht="12.75" customHeight="1" x14ac:dyDescent="0.25">
      <c r="A1" s="2"/>
      <c r="B1" s="2"/>
      <c r="C1" s="2"/>
      <c r="D1" s="2"/>
      <c r="E1" s="3"/>
      <c r="F1" s="4"/>
      <c r="G1" s="5"/>
      <c r="H1" s="5"/>
      <c r="I1" s="130"/>
      <c r="J1" s="146"/>
      <c r="K1" s="146"/>
      <c r="L1" s="146"/>
      <c r="M1" s="5"/>
      <c r="N1" s="5"/>
      <c r="O1" s="5"/>
      <c r="P1" s="5"/>
      <c r="Q1" s="5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2.75" customHeight="1" x14ac:dyDescent="0.25">
      <c r="A2" s="3"/>
      <c r="B2" s="3"/>
      <c r="C2" s="3"/>
      <c r="D2" s="3"/>
      <c r="E2" s="3"/>
      <c r="F2" s="4"/>
      <c r="G2" s="7" t="s">
        <v>0</v>
      </c>
      <c r="H2" s="8">
        <f ca="1">TODAY()</f>
        <v>46224</v>
      </c>
      <c r="I2" s="131"/>
      <c r="J2" s="147"/>
      <c r="K2" s="147"/>
      <c r="L2" s="147"/>
      <c r="M2" s="3"/>
      <c r="N2" s="3"/>
      <c r="O2" s="3"/>
      <c r="P2" s="3"/>
      <c r="Q2" s="3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2.75" customHeight="1" x14ac:dyDescent="0.25">
      <c r="A3" s="4"/>
      <c r="B3" s="4"/>
      <c r="C3" s="4"/>
      <c r="D3" s="4"/>
      <c r="E3" s="4"/>
      <c r="F3" s="4"/>
      <c r="G3" s="4"/>
      <c r="H3" s="4"/>
      <c r="I3" s="132"/>
      <c r="J3" s="148"/>
      <c r="K3" s="148"/>
      <c r="L3" s="148"/>
      <c r="M3" s="38"/>
      <c r="N3" s="4"/>
      <c r="O3" s="4"/>
      <c r="P3" s="4"/>
      <c r="Q3" s="4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2.75" customHeight="1" thickBot="1" x14ac:dyDescent="0.3">
      <c r="A4" s="5"/>
      <c r="B4" s="5"/>
      <c r="C4" s="5"/>
      <c r="D4" s="5"/>
      <c r="E4" s="3"/>
      <c r="F4" s="4"/>
      <c r="G4" s="5"/>
      <c r="H4" s="5"/>
      <c r="I4" s="130"/>
      <c r="J4" s="146"/>
      <c r="K4" s="146"/>
      <c r="L4" s="146"/>
      <c r="M4" s="5"/>
      <c r="N4" s="5"/>
      <c r="O4" s="5"/>
      <c r="P4" s="5"/>
      <c r="Q4" s="5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2.5" customHeight="1" thickBot="1" x14ac:dyDescent="0.3">
      <c r="A5" s="150" t="s">
        <v>1</v>
      </c>
      <c r="B5" s="151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3"/>
      <c r="S5" s="11"/>
      <c r="T5" s="11"/>
      <c r="U5" s="11"/>
      <c r="V5" s="11"/>
      <c r="W5" s="11"/>
      <c r="X5" s="11"/>
      <c r="Y5" s="11"/>
      <c r="Z5" s="11"/>
      <c r="AA5" s="11"/>
      <c r="AB5" s="11"/>
    </row>
    <row r="6" spans="1:28" ht="40.5" customHeight="1" x14ac:dyDescent="0.25">
      <c r="A6" s="53" t="s">
        <v>2</v>
      </c>
      <c r="B6" s="135" t="s">
        <v>1373</v>
      </c>
      <c r="C6" s="13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3" t="s">
        <v>10</v>
      </c>
      <c r="K6" s="13" t="s">
        <v>1376</v>
      </c>
      <c r="L6" s="13" t="s">
        <v>1384</v>
      </c>
      <c r="M6" s="13" t="s">
        <v>11</v>
      </c>
      <c r="N6" s="13" t="s">
        <v>12</v>
      </c>
      <c r="O6" s="13" t="s">
        <v>13</v>
      </c>
      <c r="P6" s="13" t="s">
        <v>14</v>
      </c>
      <c r="Q6" s="14" t="s">
        <v>15</v>
      </c>
      <c r="R6" s="54" t="s">
        <v>16</v>
      </c>
      <c r="S6" s="12" t="s">
        <v>1386</v>
      </c>
      <c r="T6" s="12"/>
      <c r="U6" s="12"/>
      <c r="V6" s="12"/>
      <c r="W6" s="12"/>
      <c r="X6" s="12"/>
      <c r="Y6" s="12"/>
      <c r="Z6" s="12"/>
      <c r="AA6" s="12"/>
      <c r="AB6" s="12"/>
    </row>
    <row r="7" spans="1:28" ht="32.25" hidden="1" customHeight="1" x14ac:dyDescent="0.25">
      <c r="A7" s="55">
        <v>1</v>
      </c>
      <c r="B7" s="56"/>
      <c r="C7" s="65" t="s">
        <v>17</v>
      </c>
      <c r="D7" s="56" t="s">
        <v>18</v>
      </c>
      <c r="E7" s="43" t="s">
        <v>651</v>
      </c>
      <c r="F7" s="63" t="s">
        <v>19</v>
      </c>
      <c r="G7" s="17" t="s">
        <v>20</v>
      </c>
      <c r="H7" s="18" t="s">
        <v>21</v>
      </c>
      <c r="I7" s="133" t="s">
        <v>22</v>
      </c>
      <c r="J7" s="63" t="s">
        <v>23</v>
      </c>
      <c r="K7" s="63"/>
      <c r="L7" s="63"/>
      <c r="M7" s="17" t="s">
        <v>24</v>
      </c>
      <c r="N7" s="17"/>
      <c r="O7" s="19"/>
      <c r="P7" s="57" t="str" cm="1">
        <f t="array" aca="1" ref="P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" s="57" t="str" cm="1">
        <f t="array" aca="1" ref="Q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" s="58" t="s">
        <v>25</v>
      </c>
      <c r="S7" s="15"/>
      <c r="T7" s="15"/>
      <c r="U7" s="15"/>
      <c r="V7" s="15"/>
      <c r="W7" s="15"/>
      <c r="X7" s="15"/>
      <c r="Y7" s="15"/>
      <c r="Z7" s="15"/>
      <c r="AA7" s="15"/>
      <c r="AB7" s="15"/>
    </row>
    <row r="8" spans="1:28" ht="30" hidden="1" customHeight="1" x14ac:dyDescent="0.25">
      <c r="A8" s="59">
        <v>2</v>
      </c>
      <c r="B8" s="56"/>
      <c r="C8" s="65" t="s">
        <v>17</v>
      </c>
      <c r="D8" s="56" t="s">
        <v>18</v>
      </c>
      <c r="E8" s="43" t="s">
        <v>652</v>
      </c>
      <c r="F8" s="63" t="s">
        <v>19</v>
      </c>
      <c r="G8" s="43" t="s">
        <v>26</v>
      </c>
      <c r="H8" s="60" t="s">
        <v>27</v>
      </c>
      <c r="I8" s="63" t="s">
        <v>28</v>
      </c>
      <c r="J8" s="63" t="s">
        <v>23</v>
      </c>
      <c r="K8" s="63"/>
      <c r="L8" s="63"/>
      <c r="M8" s="43" t="s">
        <v>24</v>
      </c>
      <c r="N8" s="43"/>
      <c r="O8" s="57"/>
      <c r="P8" s="57" t="str" cm="1">
        <f t="array" aca="1" ref="P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" s="57" t="str" cm="1">
        <f t="array" aca="1" ref="Q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" s="61" t="s">
        <v>25</v>
      </c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30" hidden="1" customHeight="1" x14ac:dyDescent="0.25">
      <c r="A9" s="59">
        <v>3</v>
      </c>
      <c r="B9" s="56"/>
      <c r="C9" s="65" t="s">
        <v>17</v>
      </c>
      <c r="D9" s="56" t="s">
        <v>18</v>
      </c>
      <c r="E9" s="43" t="s">
        <v>653</v>
      </c>
      <c r="F9" s="63" t="s">
        <v>29</v>
      </c>
      <c r="G9" s="43" t="s">
        <v>30</v>
      </c>
      <c r="H9" s="60" t="s">
        <v>31</v>
      </c>
      <c r="I9" s="63" t="s">
        <v>32</v>
      </c>
      <c r="J9" s="63" t="s">
        <v>23</v>
      </c>
      <c r="K9" s="63"/>
      <c r="L9" s="63"/>
      <c r="M9" s="43" t="s">
        <v>24</v>
      </c>
      <c r="N9" s="43"/>
      <c r="O9" s="57"/>
      <c r="P9" s="57" t="str" cm="1">
        <f t="array" aca="1" ref="P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" s="57" t="str" cm="1">
        <f t="array" aca="1" ref="Q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" s="61" t="s">
        <v>25</v>
      </c>
      <c r="S9" s="15"/>
      <c r="T9" s="15"/>
      <c r="U9" s="15"/>
      <c r="V9" s="15"/>
      <c r="W9" s="15"/>
      <c r="X9" s="15"/>
      <c r="Y9" s="15"/>
      <c r="Z9" s="15"/>
      <c r="AA9" s="15"/>
      <c r="AB9" s="15"/>
    </row>
    <row r="10" spans="1:28" ht="30" hidden="1" customHeight="1" x14ac:dyDescent="0.25">
      <c r="A10" s="59">
        <v>4</v>
      </c>
      <c r="B10" s="136"/>
      <c r="C10" s="65" t="s">
        <v>17</v>
      </c>
      <c r="D10" s="56" t="s">
        <v>33</v>
      </c>
      <c r="E10" s="43" t="s">
        <v>654</v>
      </c>
      <c r="F10" s="63" t="s">
        <v>34</v>
      </c>
      <c r="G10" s="56">
        <v>43213804</v>
      </c>
      <c r="H10" s="60" t="s">
        <v>35</v>
      </c>
      <c r="I10" s="63" t="s">
        <v>36</v>
      </c>
      <c r="J10" s="63" t="s">
        <v>23</v>
      </c>
      <c r="K10" s="63"/>
      <c r="L10" s="63"/>
      <c r="M10" s="43" t="s">
        <v>24</v>
      </c>
      <c r="N10" s="43"/>
      <c r="O10" s="57">
        <v>46196</v>
      </c>
      <c r="P10" s="57" t="str" cm="1">
        <f t="array" aca="1" ref="P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" s="57" t="str" cm="1">
        <f t="array" aca="1" ref="Q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" s="62" t="s">
        <v>746</v>
      </c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30" hidden="1" customHeight="1" x14ac:dyDescent="0.25">
      <c r="A11" s="59">
        <v>5</v>
      </c>
      <c r="B11" s="56"/>
      <c r="C11" s="65" t="s">
        <v>17</v>
      </c>
      <c r="D11" s="56" t="s">
        <v>18</v>
      </c>
      <c r="E11" s="43" t="s">
        <v>655</v>
      </c>
      <c r="F11" s="63" t="s">
        <v>37</v>
      </c>
      <c r="G11" s="43">
        <v>2482004</v>
      </c>
      <c r="H11" s="60" t="s">
        <v>38</v>
      </c>
      <c r="I11" s="63" t="s">
        <v>39</v>
      </c>
      <c r="J11" s="63" t="s">
        <v>23</v>
      </c>
      <c r="K11" s="63"/>
      <c r="L11" s="63"/>
      <c r="M11" s="43" t="s">
        <v>24</v>
      </c>
      <c r="N11" s="43"/>
      <c r="O11" s="57"/>
      <c r="P11" s="57" t="str" cm="1">
        <f t="array" aca="1" ref="P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" s="57" t="str" cm="1">
        <f t="array" aca="1" ref="Q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" s="61" t="s">
        <v>25</v>
      </c>
      <c r="S11" s="15"/>
      <c r="T11" s="15"/>
      <c r="U11" s="15"/>
      <c r="V11" s="15"/>
      <c r="W11" s="15"/>
      <c r="X11" s="15"/>
      <c r="Y11" s="15"/>
      <c r="Z11" s="15"/>
      <c r="AA11" s="15"/>
      <c r="AB11" s="15"/>
    </row>
    <row r="12" spans="1:28" ht="30" hidden="1" customHeight="1" x14ac:dyDescent="0.25">
      <c r="A12" s="59">
        <v>6</v>
      </c>
      <c r="B12" s="56"/>
      <c r="C12" s="65" t="s">
        <v>17</v>
      </c>
      <c r="D12" s="56" t="s">
        <v>40</v>
      </c>
      <c r="E12" s="43" t="s">
        <v>656</v>
      </c>
      <c r="F12" s="63" t="s">
        <v>41</v>
      </c>
      <c r="G12" s="43" t="s">
        <v>42</v>
      </c>
      <c r="H12" s="60" t="s">
        <v>43</v>
      </c>
      <c r="I12" s="63" t="s">
        <v>44</v>
      </c>
      <c r="J12" s="63" t="s">
        <v>23</v>
      </c>
      <c r="K12" s="63"/>
      <c r="L12" s="63"/>
      <c r="M12" s="43" t="s">
        <v>24</v>
      </c>
      <c r="N12" s="43" t="s">
        <v>45</v>
      </c>
      <c r="O12" s="57">
        <v>45910</v>
      </c>
      <c r="P12" s="57" t="str" cm="1">
        <f t="array" aca="1" ref="P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" s="57" t="str" cm="1">
        <f t="array" aca="1" ref="Q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" s="62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30" hidden="1" customHeight="1" x14ac:dyDescent="0.25">
      <c r="A13" s="59">
        <v>7</v>
      </c>
      <c r="B13" s="56"/>
      <c r="C13" s="65" t="s">
        <v>17</v>
      </c>
      <c r="D13" s="56" t="s">
        <v>40</v>
      </c>
      <c r="E13" s="43" t="s">
        <v>657</v>
      </c>
      <c r="F13" s="63" t="s">
        <v>46</v>
      </c>
      <c r="G13" s="56">
        <v>6549329</v>
      </c>
      <c r="H13" s="60" t="s">
        <v>47</v>
      </c>
      <c r="I13" s="63" t="s">
        <v>48</v>
      </c>
      <c r="J13" s="63" t="s">
        <v>23</v>
      </c>
      <c r="K13" s="63"/>
      <c r="L13" s="63"/>
      <c r="M13" s="43" t="s">
        <v>24</v>
      </c>
      <c r="N13" s="43" t="s">
        <v>45</v>
      </c>
      <c r="O13" s="57">
        <v>46099</v>
      </c>
      <c r="P13" s="57" t="str" cm="1">
        <f t="array" aca="1" ref="P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" s="57" t="str" cm="1">
        <f t="array" aca="1" ref="Q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" s="62"/>
      <c r="S13" s="15"/>
      <c r="T13" s="15"/>
      <c r="U13" s="15"/>
      <c r="V13" s="15"/>
      <c r="W13" s="15"/>
      <c r="X13" s="15"/>
      <c r="Y13" s="15"/>
      <c r="Z13" s="15"/>
      <c r="AA13" s="15"/>
      <c r="AB13" s="15"/>
    </row>
    <row r="14" spans="1:28" ht="30" hidden="1" customHeight="1" x14ac:dyDescent="0.25">
      <c r="A14" s="59">
        <v>8</v>
      </c>
      <c r="B14" s="56"/>
      <c r="C14" s="65" t="s">
        <v>17</v>
      </c>
      <c r="D14" s="56" t="s">
        <v>40</v>
      </c>
      <c r="E14" s="43" t="s">
        <v>670</v>
      </c>
      <c r="F14" s="63" t="s">
        <v>1027</v>
      </c>
      <c r="G14" s="56">
        <v>239466</v>
      </c>
      <c r="H14" s="60" t="s">
        <v>92</v>
      </c>
      <c r="I14" s="63" t="s">
        <v>93</v>
      </c>
      <c r="J14" s="63" t="s">
        <v>23</v>
      </c>
      <c r="K14" s="63"/>
      <c r="L14" s="63"/>
      <c r="M14" s="43" t="s">
        <v>24</v>
      </c>
      <c r="N14" s="43" t="s">
        <v>45</v>
      </c>
      <c r="O14" s="57">
        <v>46099</v>
      </c>
      <c r="P14" s="57" t="str" cm="1">
        <f t="array" aca="1" ref="P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" s="57" t="str" cm="1">
        <f t="array" aca="1" ref="Q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" s="62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30" hidden="1" customHeight="1" x14ac:dyDescent="0.25">
      <c r="A15" s="59">
        <v>9</v>
      </c>
      <c r="B15" s="137"/>
      <c r="C15" s="65" t="s">
        <v>17</v>
      </c>
      <c r="D15" s="56" t="s">
        <v>40</v>
      </c>
      <c r="E15" s="43" t="s">
        <v>659</v>
      </c>
      <c r="F15" s="63" t="s">
        <v>1027</v>
      </c>
      <c r="G15" s="56" t="s">
        <v>52</v>
      </c>
      <c r="H15" s="60" t="s">
        <v>50</v>
      </c>
      <c r="I15" s="63" t="s">
        <v>51</v>
      </c>
      <c r="J15" s="63" t="s">
        <v>23</v>
      </c>
      <c r="K15" s="63"/>
      <c r="L15" s="63"/>
      <c r="M15" s="43" t="s">
        <v>24</v>
      </c>
      <c r="N15" s="43" t="s">
        <v>45</v>
      </c>
      <c r="O15" s="57">
        <v>45747</v>
      </c>
      <c r="P15" s="57" t="str" cm="1">
        <f t="array" aca="1" ref="P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" s="57" t="str" cm="1">
        <f t="array" aca="1" ref="Q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" s="62" t="s">
        <v>89</v>
      </c>
      <c r="S15" s="15"/>
      <c r="T15" s="15"/>
      <c r="U15" s="15"/>
      <c r="V15" s="15"/>
      <c r="W15" s="15"/>
      <c r="X15" s="15"/>
      <c r="Y15" s="15"/>
      <c r="Z15" s="15"/>
      <c r="AA15" s="15"/>
      <c r="AB15" s="15"/>
    </row>
    <row r="16" spans="1:28" ht="30" hidden="1" customHeight="1" x14ac:dyDescent="0.25">
      <c r="A16" s="59">
        <v>10</v>
      </c>
      <c r="B16" s="56"/>
      <c r="C16" s="65" t="s">
        <v>17</v>
      </c>
      <c r="D16" s="56" t="s">
        <v>40</v>
      </c>
      <c r="E16" s="43" t="s">
        <v>658</v>
      </c>
      <c r="F16" s="63" t="s">
        <v>49</v>
      </c>
      <c r="G16" s="43">
        <v>6920</v>
      </c>
      <c r="H16" s="60" t="s">
        <v>50</v>
      </c>
      <c r="I16" s="63" t="s">
        <v>51</v>
      </c>
      <c r="J16" s="63" t="s">
        <v>23</v>
      </c>
      <c r="K16" s="63"/>
      <c r="L16" s="63"/>
      <c r="M16" s="43" t="s">
        <v>24</v>
      </c>
      <c r="N16" s="43" t="s">
        <v>45</v>
      </c>
      <c r="O16" s="57">
        <v>46099</v>
      </c>
      <c r="P16" s="57" t="str" cm="1">
        <f t="array" aca="1" ref="P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" s="57" t="str" cm="1">
        <f t="array" aca="1" ref="Q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" s="62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ht="36.75" hidden="1" customHeight="1" x14ac:dyDescent="0.25">
      <c r="A17" s="59">
        <v>11</v>
      </c>
      <c r="B17" s="56"/>
      <c r="C17" s="65" t="s">
        <v>17</v>
      </c>
      <c r="D17" s="56" t="s">
        <v>53</v>
      </c>
      <c r="E17" s="43" t="s">
        <v>660</v>
      </c>
      <c r="F17" s="63" t="s">
        <v>54</v>
      </c>
      <c r="G17" s="43">
        <v>61138</v>
      </c>
      <c r="H17" s="60" t="s">
        <v>55</v>
      </c>
      <c r="I17" s="63" t="s">
        <v>56</v>
      </c>
      <c r="J17" s="63" t="s">
        <v>23</v>
      </c>
      <c r="K17" s="63"/>
      <c r="L17" s="63"/>
      <c r="M17" s="43" t="s">
        <v>24</v>
      </c>
      <c r="N17" s="43" t="s">
        <v>745</v>
      </c>
      <c r="O17" s="57">
        <v>46058</v>
      </c>
      <c r="P17" s="57" t="str" cm="1">
        <f t="array" aca="1" ref="P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" s="57" t="str" cm="1">
        <f t="array" aca="1" ref="Q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" s="62"/>
      <c r="S17" s="15"/>
      <c r="T17" s="15"/>
      <c r="U17" s="15"/>
      <c r="V17" s="15"/>
      <c r="W17" s="15"/>
      <c r="X17" s="15"/>
      <c r="Y17" s="15"/>
      <c r="Z17" s="15"/>
      <c r="AA17" s="15"/>
      <c r="AB17" s="15"/>
    </row>
    <row r="18" spans="1:28" ht="30" hidden="1" customHeight="1" x14ac:dyDescent="0.25">
      <c r="A18" s="59">
        <v>12</v>
      </c>
      <c r="B18" s="56"/>
      <c r="C18" s="65" t="s">
        <v>17</v>
      </c>
      <c r="D18" s="56" t="s">
        <v>40</v>
      </c>
      <c r="E18" s="43" t="s">
        <v>661</v>
      </c>
      <c r="F18" s="63" t="s">
        <v>57</v>
      </c>
      <c r="G18" s="56">
        <v>9478031</v>
      </c>
      <c r="H18" s="60" t="s">
        <v>58</v>
      </c>
      <c r="I18" s="63" t="s">
        <v>33</v>
      </c>
      <c r="J18" s="63" t="s">
        <v>23</v>
      </c>
      <c r="K18" s="63"/>
      <c r="L18" s="63"/>
      <c r="M18" s="43" t="s">
        <v>24</v>
      </c>
      <c r="N18" s="43" t="s">
        <v>45</v>
      </c>
      <c r="O18" s="57">
        <v>46062</v>
      </c>
      <c r="P18" s="57" t="str" cm="1">
        <f t="array" aca="1" ref="P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" s="57" t="str" cm="1">
        <f t="array" aca="1" ref="Q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" s="62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ht="47.25" hidden="1" customHeight="1" x14ac:dyDescent="0.25">
      <c r="A19" s="59">
        <v>13</v>
      </c>
      <c r="B19" s="56"/>
      <c r="C19" s="65" t="s">
        <v>17</v>
      </c>
      <c r="D19" s="56" t="s">
        <v>40</v>
      </c>
      <c r="E19" s="43" t="s">
        <v>662</v>
      </c>
      <c r="F19" s="63" t="s">
        <v>59</v>
      </c>
      <c r="G19" s="43">
        <v>40826</v>
      </c>
      <c r="H19" s="60" t="s">
        <v>60</v>
      </c>
      <c r="I19" s="63" t="s">
        <v>61</v>
      </c>
      <c r="J19" s="63" t="s">
        <v>23</v>
      </c>
      <c r="K19" s="63"/>
      <c r="L19" s="63"/>
      <c r="M19" s="43" t="s">
        <v>24</v>
      </c>
      <c r="N19" s="43" t="s">
        <v>45</v>
      </c>
      <c r="O19" s="57">
        <v>45910</v>
      </c>
      <c r="P19" s="57" t="str" cm="1">
        <f t="array" aca="1" ref="P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9" s="57" t="str" cm="1">
        <f t="array" aca="1" ref="Q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" s="62"/>
      <c r="S19" s="15"/>
      <c r="T19" s="15"/>
      <c r="U19" s="15"/>
      <c r="V19" s="15"/>
      <c r="W19" s="15"/>
      <c r="X19" s="15"/>
      <c r="Y19" s="15"/>
      <c r="Z19" s="15"/>
      <c r="AA19" s="15"/>
      <c r="AB19" s="15"/>
    </row>
    <row r="20" spans="1:28" ht="39.75" hidden="1" customHeight="1" x14ac:dyDescent="0.25">
      <c r="A20" s="59">
        <v>14</v>
      </c>
      <c r="B20" s="56"/>
      <c r="C20" s="65" t="s">
        <v>17</v>
      </c>
      <c r="D20" s="56" t="s">
        <v>189</v>
      </c>
      <c r="E20" s="43"/>
      <c r="F20" s="63" t="s">
        <v>707</v>
      </c>
      <c r="G20" s="43">
        <v>51240293000</v>
      </c>
      <c r="H20" s="60" t="s">
        <v>709</v>
      </c>
      <c r="I20" s="63" t="s">
        <v>712</v>
      </c>
      <c r="J20" s="63" t="s">
        <v>23</v>
      </c>
      <c r="K20" s="63"/>
      <c r="L20" s="63"/>
      <c r="M20" s="43" t="s">
        <v>24</v>
      </c>
      <c r="N20" s="64"/>
      <c r="O20" s="57"/>
      <c r="P20" s="57"/>
      <c r="Q20" s="57" t="str" cm="1">
        <f t="array" aca="1" ref="Q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" s="61" t="s">
        <v>25</v>
      </c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ht="40.5" hidden="1" customHeight="1" x14ac:dyDescent="0.25">
      <c r="A21" s="59">
        <v>15</v>
      </c>
      <c r="B21" s="56"/>
      <c r="C21" s="65" t="s">
        <v>17</v>
      </c>
      <c r="D21" s="56" t="s">
        <v>18</v>
      </c>
      <c r="E21" s="43" t="s">
        <v>62</v>
      </c>
      <c r="F21" s="63" t="s">
        <v>63</v>
      </c>
      <c r="G21" s="43">
        <v>20465</v>
      </c>
      <c r="H21" s="60" t="s">
        <v>64</v>
      </c>
      <c r="I21" s="63" t="s">
        <v>65</v>
      </c>
      <c r="J21" s="63" t="s">
        <v>23</v>
      </c>
      <c r="K21" s="63"/>
      <c r="L21" s="63"/>
      <c r="M21" s="43" t="s">
        <v>24</v>
      </c>
      <c r="N21" s="64" t="s">
        <v>66</v>
      </c>
      <c r="O21" s="57">
        <v>45936</v>
      </c>
      <c r="P21" s="57" t="str" cm="1">
        <f t="array" aca="1" ref="P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" s="57" t="str" cm="1">
        <f t="array" aca="1" ref="Q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" s="6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ht="30" hidden="1" customHeight="1" x14ac:dyDescent="0.25">
      <c r="A22" s="59">
        <v>16</v>
      </c>
      <c r="B22" s="56"/>
      <c r="C22" s="65" t="s">
        <v>17</v>
      </c>
      <c r="D22" s="56" t="s">
        <v>18</v>
      </c>
      <c r="E22" s="43" t="s">
        <v>67</v>
      </c>
      <c r="F22" s="63" t="s">
        <v>63</v>
      </c>
      <c r="G22" s="43"/>
      <c r="H22" s="60" t="s">
        <v>68</v>
      </c>
      <c r="I22" s="63" t="s">
        <v>69</v>
      </c>
      <c r="J22" s="63" t="s">
        <v>23</v>
      </c>
      <c r="K22" s="63"/>
      <c r="L22" s="63"/>
      <c r="M22" s="43" t="s">
        <v>24</v>
      </c>
      <c r="N22" s="64" t="s">
        <v>66</v>
      </c>
      <c r="O22" s="57">
        <v>45936</v>
      </c>
      <c r="P22" s="57" t="str" cm="1">
        <f t="array" aca="1" ref="P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" s="57" t="str" cm="1">
        <f t="array" aca="1" ref="Q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" s="61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1:28" ht="30" hidden="1" customHeight="1" x14ac:dyDescent="0.25">
      <c r="A23" s="59">
        <v>17</v>
      </c>
      <c r="B23" s="56"/>
      <c r="C23" s="65" t="s">
        <v>17</v>
      </c>
      <c r="D23" s="56" t="s">
        <v>40</v>
      </c>
      <c r="E23" s="43" t="s">
        <v>663</v>
      </c>
      <c r="F23" s="63" t="s">
        <v>70</v>
      </c>
      <c r="G23" s="56">
        <v>11099676</v>
      </c>
      <c r="H23" s="60" t="s">
        <v>71</v>
      </c>
      <c r="I23" s="63" t="s">
        <v>72</v>
      </c>
      <c r="J23" s="63" t="s">
        <v>23</v>
      </c>
      <c r="K23" s="63"/>
      <c r="L23" s="63"/>
      <c r="M23" s="43" t="s">
        <v>24</v>
      </c>
      <c r="N23" s="43" t="s">
        <v>45</v>
      </c>
      <c r="O23" s="57">
        <v>45911</v>
      </c>
      <c r="P23" s="57" t="str" cm="1">
        <f t="array" aca="1" ref="P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" s="57" t="str" cm="1">
        <f t="array" aca="1" ref="Q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" s="62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ht="30" hidden="1" customHeight="1" x14ac:dyDescent="0.25">
      <c r="A24" s="59">
        <v>18</v>
      </c>
      <c r="B24" s="56"/>
      <c r="C24" s="65" t="s">
        <v>17</v>
      </c>
      <c r="D24" s="56" t="s">
        <v>40</v>
      </c>
      <c r="E24" s="43" t="s">
        <v>664</v>
      </c>
      <c r="F24" s="63" t="s">
        <v>70</v>
      </c>
      <c r="G24" s="43">
        <v>4540536</v>
      </c>
      <c r="H24" s="60" t="s">
        <v>73</v>
      </c>
      <c r="I24" s="63" t="s">
        <v>72</v>
      </c>
      <c r="J24" s="63" t="s">
        <v>23</v>
      </c>
      <c r="K24" s="63"/>
      <c r="L24" s="63"/>
      <c r="M24" s="43" t="s">
        <v>24</v>
      </c>
      <c r="N24" s="43" t="s">
        <v>45</v>
      </c>
      <c r="O24" s="57">
        <v>45910</v>
      </c>
      <c r="P24" s="57" t="str" cm="1">
        <f t="array" aca="1" ref="P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" s="57" t="str" cm="1">
        <f t="array" aca="1" ref="Q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" s="62"/>
      <c r="S24" s="15"/>
      <c r="T24" s="32"/>
      <c r="U24" s="15"/>
      <c r="V24" s="15"/>
      <c r="W24" s="15"/>
      <c r="X24" s="15"/>
      <c r="Y24" s="15"/>
      <c r="Z24" s="15"/>
      <c r="AA24" s="15"/>
      <c r="AB24" s="15"/>
    </row>
    <row r="25" spans="1:28" ht="30" hidden="1" customHeight="1" x14ac:dyDescent="0.25">
      <c r="A25" s="59">
        <v>19</v>
      </c>
      <c r="B25" s="56"/>
      <c r="C25" s="65" t="s">
        <v>17</v>
      </c>
      <c r="D25" s="56" t="s">
        <v>94</v>
      </c>
      <c r="E25" s="43" t="s">
        <v>1307</v>
      </c>
      <c r="F25" s="63" t="s">
        <v>70</v>
      </c>
      <c r="G25" s="43">
        <v>7130409</v>
      </c>
      <c r="H25" s="60" t="s">
        <v>73</v>
      </c>
      <c r="I25" s="63" t="s">
        <v>72</v>
      </c>
      <c r="J25" s="63" t="s">
        <v>23</v>
      </c>
      <c r="K25" s="63"/>
      <c r="L25" s="63"/>
      <c r="M25" s="43" t="s">
        <v>24</v>
      </c>
      <c r="N25" s="43" t="s">
        <v>45</v>
      </c>
      <c r="O25" s="57">
        <v>46030</v>
      </c>
      <c r="P25" s="57" t="str" cm="1">
        <f t="array" aca="1" ref="P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" s="57" t="str" cm="1">
        <f t="array" aca="1" ref="Q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" s="6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ht="30" hidden="1" customHeight="1" x14ac:dyDescent="0.25">
      <c r="A26" s="59">
        <v>20</v>
      </c>
      <c r="B26" s="56"/>
      <c r="C26" s="65" t="s">
        <v>17</v>
      </c>
      <c r="D26" s="56" t="s">
        <v>53</v>
      </c>
      <c r="E26" s="43" t="s">
        <v>665</v>
      </c>
      <c r="F26" s="63" t="s">
        <v>1075</v>
      </c>
      <c r="G26" s="56">
        <v>2160194</v>
      </c>
      <c r="H26" s="60" t="s">
        <v>74</v>
      </c>
      <c r="I26" s="63" t="s">
        <v>75</v>
      </c>
      <c r="J26" s="63" t="s">
        <v>23</v>
      </c>
      <c r="K26" s="63"/>
      <c r="L26" s="63"/>
      <c r="M26" s="43" t="s">
        <v>24</v>
      </c>
      <c r="N26" s="43" t="s">
        <v>745</v>
      </c>
      <c r="O26" s="57">
        <v>46127</v>
      </c>
      <c r="P26" s="57" t="str" cm="1">
        <f t="array" aca="1" ref="P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" s="57" t="str" cm="1">
        <f t="array" aca="1" ref="Q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" s="62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1:28" ht="30" hidden="1" customHeight="1" x14ac:dyDescent="0.25">
      <c r="A27" s="59">
        <v>21</v>
      </c>
      <c r="B27" s="56"/>
      <c r="C27" s="65" t="s">
        <v>17</v>
      </c>
      <c r="D27" s="56" t="s">
        <v>76</v>
      </c>
      <c r="E27" s="43" t="s">
        <v>666</v>
      </c>
      <c r="F27" s="65" t="s">
        <v>77</v>
      </c>
      <c r="G27" s="43">
        <v>4199</v>
      </c>
      <c r="H27" s="60" t="s">
        <v>78</v>
      </c>
      <c r="I27" s="63" t="s">
        <v>79</v>
      </c>
      <c r="J27" s="63" t="s">
        <v>23</v>
      </c>
      <c r="K27" s="63"/>
      <c r="L27" s="63"/>
      <c r="M27" s="43" t="s">
        <v>24</v>
      </c>
      <c r="N27" s="43" t="s">
        <v>84</v>
      </c>
      <c r="O27" s="57">
        <v>45999</v>
      </c>
      <c r="P27" s="57" t="str" cm="1">
        <f t="array" aca="1" ref="P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" s="57" t="str" cm="1">
        <f t="array" aca="1" ref="Q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" s="62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ht="40.15" hidden="1" customHeight="1" x14ac:dyDescent="0.25">
      <c r="A28" s="59">
        <v>22</v>
      </c>
      <c r="B28" s="56"/>
      <c r="C28" s="65" t="s">
        <v>17</v>
      </c>
      <c r="D28" s="56" t="s">
        <v>76</v>
      </c>
      <c r="E28" s="43" t="s">
        <v>667</v>
      </c>
      <c r="F28" s="63" t="s">
        <v>80</v>
      </c>
      <c r="G28" s="43">
        <v>20240121051</v>
      </c>
      <c r="H28" s="60" t="s">
        <v>81</v>
      </c>
      <c r="I28" s="63" t="s">
        <v>82</v>
      </c>
      <c r="J28" s="63" t="s">
        <v>23</v>
      </c>
      <c r="K28" s="63"/>
      <c r="L28" s="63"/>
      <c r="M28" s="43" t="s">
        <v>83</v>
      </c>
      <c r="N28" s="43" t="s">
        <v>84</v>
      </c>
      <c r="O28" s="57">
        <v>46098</v>
      </c>
      <c r="P28" s="57" t="str" cm="1">
        <f t="array" aca="1" ref="P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" s="57" t="str" cm="1">
        <f t="array" aca="1" ref="Q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" s="61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1:28" ht="30" hidden="1" customHeight="1" x14ac:dyDescent="0.25">
      <c r="A29" s="59">
        <v>23</v>
      </c>
      <c r="B29" s="65"/>
      <c r="C29" s="65" t="s">
        <v>17</v>
      </c>
      <c r="D29" s="56" t="s">
        <v>76</v>
      </c>
      <c r="E29" s="43" t="s">
        <v>1046</v>
      </c>
      <c r="F29" s="65" t="s">
        <v>85</v>
      </c>
      <c r="G29" s="43" t="s">
        <v>91</v>
      </c>
      <c r="H29" s="60" t="s">
        <v>1178</v>
      </c>
      <c r="I29" s="63" t="s">
        <v>91</v>
      </c>
      <c r="J29" s="63" t="s">
        <v>23</v>
      </c>
      <c r="K29" s="63"/>
      <c r="L29" s="63"/>
      <c r="M29" s="43" t="s">
        <v>83</v>
      </c>
      <c r="N29" s="43" t="s">
        <v>84</v>
      </c>
      <c r="O29" s="57">
        <v>46153</v>
      </c>
      <c r="P29" s="57" t="str" cm="1">
        <f t="array" aca="1" ref="P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" s="57" t="str" cm="1">
        <f t="array" aca="1" ref="Q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" s="62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ht="30" hidden="1" customHeight="1" x14ac:dyDescent="0.25">
      <c r="A30" s="59">
        <v>24</v>
      </c>
      <c r="B30" s="65"/>
      <c r="C30" s="65" t="s">
        <v>17</v>
      </c>
      <c r="D30" s="56" t="s">
        <v>76</v>
      </c>
      <c r="E30" s="43" t="s">
        <v>1176</v>
      </c>
      <c r="F30" s="65" t="s">
        <v>85</v>
      </c>
      <c r="G30" s="43" t="s">
        <v>91</v>
      </c>
      <c r="H30" s="60" t="s">
        <v>1178</v>
      </c>
      <c r="I30" s="63" t="s">
        <v>91</v>
      </c>
      <c r="J30" s="63" t="s">
        <v>23</v>
      </c>
      <c r="K30" s="63"/>
      <c r="L30" s="63"/>
      <c r="M30" s="43" t="s">
        <v>83</v>
      </c>
      <c r="N30" s="43" t="s">
        <v>84</v>
      </c>
      <c r="O30" s="57">
        <v>46153</v>
      </c>
      <c r="P30" s="57" t="str" cm="1">
        <f t="array" aca="1" ref="P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" s="57" t="str" cm="1">
        <f t="array" aca="1" ref="Q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" s="62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1:28" ht="30" hidden="1" customHeight="1" x14ac:dyDescent="0.25">
      <c r="A31" s="59">
        <v>25</v>
      </c>
      <c r="B31" s="65"/>
      <c r="C31" s="65" t="s">
        <v>17</v>
      </c>
      <c r="D31" s="56" t="s">
        <v>76</v>
      </c>
      <c r="E31" s="43" t="s">
        <v>1177</v>
      </c>
      <c r="F31" s="65" t="s">
        <v>85</v>
      </c>
      <c r="G31" s="43" t="s">
        <v>91</v>
      </c>
      <c r="H31" s="60" t="s">
        <v>1178</v>
      </c>
      <c r="I31" s="63" t="s">
        <v>91</v>
      </c>
      <c r="J31" s="63" t="s">
        <v>23</v>
      </c>
      <c r="K31" s="63"/>
      <c r="L31" s="63"/>
      <c r="M31" s="43" t="s">
        <v>83</v>
      </c>
      <c r="N31" s="43" t="s">
        <v>84</v>
      </c>
      <c r="O31" s="57">
        <v>46153</v>
      </c>
      <c r="P31" s="57" t="str" cm="1">
        <f t="array" aca="1" ref="P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" s="57" t="str" cm="1">
        <f t="array" aca="1" ref="Q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" s="62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1:28" ht="30" hidden="1" customHeight="1" x14ac:dyDescent="0.25">
      <c r="A32" s="59">
        <v>26</v>
      </c>
      <c r="B32" s="65"/>
      <c r="C32" s="65" t="s">
        <v>17</v>
      </c>
      <c r="D32" s="56" t="s">
        <v>76</v>
      </c>
      <c r="E32" s="43" t="s">
        <v>1305</v>
      </c>
      <c r="F32" s="65" t="s">
        <v>85</v>
      </c>
      <c r="G32" s="43" t="s">
        <v>91</v>
      </c>
      <c r="H32" s="60" t="s">
        <v>1178</v>
      </c>
      <c r="I32" s="63" t="s">
        <v>91</v>
      </c>
      <c r="J32" s="63" t="s">
        <v>23</v>
      </c>
      <c r="K32" s="63"/>
      <c r="L32" s="63"/>
      <c r="M32" s="43" t="s">
        <v>83</v>
      </c>
      <c r="N32" s="43" t="s">
        <v>84</v>
      </c>
      <c r="O32" s="57">
        <v>46178</v>
      </c>
      <c r="P32" s="57" t="str" cm="1">
        <f t="array" aca="1" ref="P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" s="57" t="str" cm="1">
        <f t="array" aca="1" ref="Q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" s="62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1:28" ht="30" hidden="1" customHeight="1" x14ac:dyDescent="0.25">
      <c r="A33" s="59">
        <v>27</v>
      </c>
      <c r="B33" s="137"/>
      <c r="C33" s="65" t="s">
        <v>17</v>
      </c>
      <c r="D33" s="56" t="s">
        <v>33</v>
      </c>
      <c r="E33" s="43" t="s">
        <v>668</v>
      </c>
      <c r="F33" s="63" t="s">
        <v>85</v>
      </c>
      <c r="G33" s="56" t="s">
        <v>86</v>
      </c>
      <c r="H33" s="60" t="s">
        <v>87</v>
      </c>
      <c r="I33" s="63" t="s">
        <v>88</v>
      </c>
      <c r="J33" s="63" t="s">
        <v>23</v>
      </c>
      <c r="K33" s="63"/>
      <c r="L33" s="63"/>
      <c r="M33" s="43" t="s">
        <v>83</v>
      </c>
      <c r="N33" s="43" t="s">
        <v>84</v>
      </c>
      <c r="O33" s="57">
        <v>45573</v>
      </c>
      <c r="P33" s="57" t="str" cm="1">
        <f t="array" aca="1" ref="P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" s="57" t="str" cm="1">
        <f t="array" aca="1" ref="Q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" s="62" t="s">
        <v>89</v>
      </c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1:28" ht="30" hidden="1" customHeight="1" x14ac:dyDescent="0.25">
      <c r="A34" s="59">
        <v>28</v>
      </c>
      <c r="B34" s="137"/>
      <c r="C34" s="65" t="s">
        <v>17</v>
      </c>
      <c r="D34" s="56" t="s">
        <v>76</v>
      </c>
      <c r="E34" s="43" t="s">
        <v>669</v>
      </c>
      <c r="F34" s="63" t="s">
        <v>85</v>
      </c>
      <c r="G34" s="43" t="s">
        <v>90</v>
      </c>
      <c r="H34" s="60" t="s">
        <v>81</v>
      </c>
      <c r="I34" s="63" t="s">
        <v>91</v>
      </c>
      <c r="J34" s="63" t="s">
        <v>23</v>
      </c>
      <c r="K34" s="63"/>
      <c r="L34" s="63"/>
      <c r="M34" s="43" t="s">
        <v>83</v>
      </c>
      <c r="N34" s="43" t="s">
        <v>84</v>
      </c>
      <c r="O34" s="57">
        <v>45573</v>
      </c>
      <c r="P34" s="57" t="str" cm="1">
        <f t="array" aca="1" ref="P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" s="57" t="str" cm="1">
        <f t="array" aca="1" ref="Q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" s="62" t="s">
        <v>89</v>
      </c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1:28" ht="30" hidden="1" customHeight="1" x14ac:dyDescent="0.25">
      <c r="A35" s="59">
        <v>29</v>
      </c>
      <c r="B35" s="56"/>
      <c r="C35" s="65" t="s">
        <v>17</v>
      </c>
      <c r="D35" s="56" t="s">
        <v>94</v>
      </c>
      <c r="E35" s="43" t="s">
        <v>671</v>
      </c>
      <c r="F35" s="63" t="s">
        <v>95</v>
      </c>
      <c r="G35" s="43">
        <v>1665023</v>
      </c>
      <c r="H35" s="60" t="s">
        <v>96</v>
      </c>
      <c r="I35" s="63" t="s">
        <v>97</v>
      </c>
      <c r="J35" s="63" t="s">
        <v>23</v>
      </c>
      <c r="K35" s="63"/>
      <c r="L35" s="63"/>
      <c r="M35" s="43" t="s">
        <v>24</v>
      </c>
      <c r="N35" s="43"/>
      <c r="O35" s="57">
        <v>45506</v>
      </c>
      <c r="P35" s="57" t="str" cm="1">
        <f t="array" aca="1" ref="P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5" s="57" t="str" cm="1">
        <f t="array" aca="1" ref="Q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" s="62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ht="30" hidden="1" customHeight="1" x14ac:dyDescent="0.25">
      <c r="A36" s="59">
        <v>30</v>
      </c>
      <c r="B36" s="56"/>
      <c r="C36" s="65" t="s">
        <v>17</v>
      </c>
      <c r="D36" s="56" t="s">
        <v>94</v>
      </c>
      <c r="E36" s="43" t="s">
        <v>672</v>
      </c>
      <c r="F36" s="63" t="s">
        <v>95</v>
      </c>
      <c r="G36" s="56">
        <v>1855616</v>
      </c>
      <c r="H36" s="60" t="s">
        <v>96</v>
      </c>
      <c r="I36" s="63" t="s">
        <v>97</v>
      </c>
      <c r="J36" s="63" t="s">
        <v>23</v>
      </c>
      <c r="K36" s="63"/>
      <c r="L36" s="63"/>
      <c r="M36" s="43" t="s">
        <v>24</v>
      </c>
      <c r="N36" s="43"/>
      <c r="O36" s="57">
        <v>45506</v>
      </c>
      <c r="P36" s="57" t="str" cm="1">
        <f t="array" aca="1" ref="P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6" s="57" t="str" cm="1">
        <f t="array" aca="1" ref="Q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" s="62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1:28" ht="42.75" hidden="1" customHeight="1" x14ac:dyDescent="0.25">
      <c r="A37" s="59">
        <v>31</v>
      </c>
      <c r="B37" s="56"/>
      <c r="C37" s="65" t="s">
        <v>17</v>
      </c>
      <c r="D37" s="56" t="s">
        <v>94</v>
      </c>
      <c r="E37" s="43" t="s">
        <v>673</v>
      </c>
      <c r="F37" s="63" t="s">
        <v>95</v>
      </c>
      <c r="G37" s="43" t="s">
        <v>98</v>
      </c>
      <c r="H37" s="60" t="s">
        <v>99</v>
      </c>
      <c r="I37" s="63" t="s">
        <v>97</v>
      </c>
      <c r="J37" s="63" t="s">
        <v>23</v>
      </c>
      <c r="K37" s="63"/>
      <c r="L37" s="63"/>
      <c r="M37" s="43" t="s">
        <v>24</v>
      </c>
      <c r="N37" s="43"/>
      <c r="O37" s="57">
        <v>45506</v>
      </c>
      <c r="P37" s="57" t="str" cm="1">
        <f t="array" aca="1" ref="P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7" s="57" t="str" cm="1">
        <f t="array" aca="1" ref="Q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7" s="62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ht="39.75" hidden="1" customHeight="1" x14ac:dyDescent="0.25">
      <c r="A38" s="59">
        <v>32</v>
      </c>
      <c r="B38" s="56"/>
      <c r="C38" s="65" t="s">
        <v>17</v>
      </c>
      <c r="D38" s="56" t="s">
        <v>94</v>
      </c>
      <c r="E38" s="43" t="s">
        <v>674</v>
      </c>
      <c r="F38" s="63" t="s">
        <v>95</v>
      </c>
      <c r="G38" s="56">
        <v>1665023</v>
      </c>
      <c r="H38" s="60" t="s">
        <v>96</v>
      </c>
      <c r="I38" s="63" t="s">
        <v>97</v>
      </c>
      <c r="J38" s="63" t="s">
        <v>23</v>
      </c>
      <c r="K38" s="63"/>
      <c r="L38" s="63"/>
      <c r="M38" s="43" t="s">
        <v>24</v>
      </c>
      <c r="N38" s="43"/>
      <c r="O38" s="57">
        <v>45506</v>
      </c>
      <c r="P38" s="57" t="str" cm="1">
        <f t="array" aca="1" ref="P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8" s="57" t="str" cm="1">
        <f t="array" aca="1" ref="Q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8" s="62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1:28" ht="30" hidden="1" customHeight="1" x14ac:dyDescent="0.25">
      <c r="A39" s="59">
        <v>33</v>
      </c>
      <c r="B39" s="56"/>
      <c r="C39" s="65" t="s">
        <v>17</v>
      </c>
      <c r="D39" s="56" t="s">
        <v>94</v>
      </c>
      <c r="E39" s="43" t="s">
        <v>675</v>
      </c>
      <c r="F39" s="63" t="s">
        <v>95</v>
      </c>
      <c r="G39" s="43">
        <v>9670008</v>
      </c>
      <c r="H39" s="60" t="s">
        <v>96</v>
      </c>
      <c r="I39" s="63" t="s">
        <v>97</v>
      </c>
      <c r="J39" s="63" t="s">
        <v>23</v>
      </c>
      <c r="K39" s="63"/>
      <c r="L39" s="63"/>
      <c r="M39" s="43" t="s">
        <v>24</v>
      </c>
      <c r="N39" s="43"/>
      <c r="O39" s="57">
        <v>45506</v>
      </c>
      <c r="P39" s="57" t="str" cm="1">
        <f t="array" aca="1" ref="P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9" s="57" t="str" cm="1">
        <f t="array" aca="1" ref="Q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9" s="62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ht="32.25" hidden="1" customHeight="1" x14ac:dyDescent="0.25">
      <c r="A40" s="59">
        <v>34</v>
      </c>
      <c r="B40" s="65"/>
      <c r="C40" s="65" t="s">
        <v>17</v>
      </c>
      <c r="D40" s="56" t="s">
        <v>53</v>
      </c>
      <c r="E40" s="43"/>
      <c r="F40" s="63" t="s">
        <v>109</v>
      </c>
      <c r="G40" s="65">
        <v>4122575</v>
      </c>
      <c r="H40" s="68" t="s">
        <v>101</v>
      </c>
      <c r="I40" s="63" t="s">
        <v>102</v>
      </c>
      <c r="J40" s="63" t="s">
        <v>104</v>
      </c>
      <c r="K40" s="63"/>
      <c r="L40" s="63"/>
      <c r="M40" s="43" t="s">
        <v>83</v>
      </c>
      <c r="N40" s="43" t="s">
        <v>745</v>
      </c>
      <c r="O40" s="57">
        <v>46058</v>
      </c>
      <c r="P40" s="57" t="str" cm="1">
        <f t="array" aca="1" ref="P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0" s="57" t="str" cm="1">
        <f t="array" aca="1" ref="Q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0" s="62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ht="32.25" hidden="1" customHeight="1" x14ac:dyDescent="0.25">
      <c r="A41" s="59">
        <v>35</v>
      </c>
      <c r="B41" s="56"/>
      <c r="C41" s="65" t="s">
        <v>17</v>
      </c>
      <c r="D41" s="56" t="s">
        <v>53</v>
      </c>
      <c r="E41" s="43"/>
      <c r="F41" s="63" t="s">
        <v>109</v>
      </c>
      <c r="G41" s="63" t="s">
        <v>100</v>
      </c>
      <c r="H41" s="60" t="s">
        <v>101</v>
      </c>
      <c r="I41" s="63" t="s">
        <v>102</v>
      </c>
      <c r="J41" s="63" t="s">
        <v>103</v>
      </c>
      <c r="K41" s="63"/>
      <c r="L41" s="63"/>
      <c r="M41" s="43" t="s">
        <v>83</v>
      </c>
      <c r="N41" s="43" t="s">
        <v>745</v>
      </c>
      <c r="O41" s="57">
        <v>46091</v>
      </c>
      <c r="P41" s="57" t="str" cm="1">
        <f t="array" aca="1" ref="P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1" s="57" t="str" cm="1">
        <f t="array" aca="1" ref="Q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1" s="62"/>
      <c r="S41" s="21"/>
      <c r="T41" s="21"/>
      <c r="U41" s="21"/>
      <c r="V41" s="21"/>
      <c r="W41" s="21"/>
      <c r="X41" s="21"/>
      <c r="Y41" s="21"/>
      <c r="Z41" s="21"/>
      <c r="AA41" s="21"/>
      <c r="AB41" s="21"/>
    </row>
    <row r="42" spans="1:28" ht="32.25" hidden="1" customHeight="1" x14ac:dyDescent="0.25">
      <c r="A42" s="59">
        <v>36</v>
      </c>
      <c r="B42" s="65"/>
      <c r="C42" s="65" t="s">
        <v>17</v>
      </c>
      <c r="D42" s="56" t="s">
        <v>53</v>
      </c>
      <c r="E42" s="43"/>
      <c r="F42" s="63" t="s">
        <v>109</v>
      </c>
      <c r="G42" s="63">
        <v>4096511</v>
      </c>
      <c r="H42" s="60" t="s">
        <v>101</v>
      </c>
      <c r="I42" s="63" t="s">
        <v>102</v>
      </c>
      <c r="J42" s="63" t="s">
        <v>103</v>
      </c>
      <c r="K42" s="63"/>
      <c r="L42" s="63"/>
      <c r="M42" s="43" t="s">
        <v>83</v>
      </c>
      <c r="N42" s="43" t="s">
        <v>745</v>
      </c>
      <c r="O42" s="57">
        <v>46091</v>
      </c>
      <c r="P42" s="57" t="str" cm="1">
        <f t="array" aca="1" ref="P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2" s="57" t="str" cm="1">
        <f t="array" aca="1" ref="Q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2" s="62"/>
      <c r="S42" s="21"/>
      <c r="T42" s="21"/>
      <c r="U42" s="21"/>
      <c r="V42" s="21"/>
      <c r="W42" s="21"/>
      <c r="X42" s="21"/>
      <c r="Y42" s="21"/>
      <c r="Z42" s="21"/>
      <c r="AA42" s="21"/>
      <c r="AB42" s="21"/>
    </row>
    <row r="43" spans="1:28" ht="30" hidden="1" customHeight="1" x14ac:dyDescent="0.25">
      <c r="A43" s="59">
        <v>37</v>
      </c>
      <c r="B43" s="65"/>
      <c r="C43" s="65" t="s">
        <v>17</v>
      </c>
      <c r="D43" s="56" t="s">
        <v>53</v>
      </c>
      <c r="E43" s="43"/>
      <c r="F43" s="63" t="s">
        <v>109</v>
      </c>
      <c r="G43" s="65">
        <v>4122176</v>
      </c>
      <c r="H43" s="60" t="s">
        <v>110</v>
      </c>
      <c r="I43" s="63" t="s">
        <v>111</v>
      </c>
      <c r="J43" s="63" t="s">
        <v>107</v>
      </c>
      <c r="K43" s="63"/>
      <c r="L43" s="63"/>
      <c r="M43" s="43" t="s">
        <v>83</v>
      </c>
      <c r="N43" s="43" t="s">
        <v>745</v>
      </c>
      <c r="O43" s="57">
        <v>46091</v>
      </c>
      <c r="P43" s="57" t="str" cm="1">
        <f t="array" aca="1" ref="P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3" s="57" t="str" cm="1">
        <f t="array" aca="1" ref="Q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3" s="62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1:28" ht="30" hidden="1" customHeight="1" x14ac:dyDescent="0.25">
      <c r="A44" s="59">
        <v>38</v>
      </c>
      <c r="B44" s="137"/>
      <c r="C44" s="65" t="s">
        <v>17</v>
      </c>
      <c r="D44" s="56" t="s">
        <v>53</v>
      </c>
      <c r="E44" s="43" t="s">
        <v>105</v>
      </c>
      <c r="F44" s="63" t="s">
        <v>109</v>
      </c>
      <c r="G44" s="56" t="s">
        <v>106</v>
      </c>
      <c r="H44" s="60" t="s">
        <v>101</v>
      </c>
      <c r="I44" s="63" t="s">
        <v>102</v>
      </c>
      <c r="J44" s="63" t="s">
        <v>107</v>
      </c>
      <c r="K44" s="63"/>
      <c r="L44" s="63"/>
      <c r="M44" s="43" t="s">
        <v>83</v>
      </c>
      <c r="N44" s="43" t="s">
        <v>745</v>
      </c>
      <c r="O44" s="57">
        <v>45695</v>
      </c>
      <c r="P44" s="57" t="str" cm="1">
        <f t="array" aca="1" ref="P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4" s="57" t="str" cm="1">
        <f t="array" aca="1" ref="Q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4" s="62" t="s">
        <v>108</v>
      </c>
      <c r="S44" s="21"/>
      <c r="T44" s="21"/>
      <c r="U44" s="21"/>
      <c r="V44" s="21"/>
      <c r="W44" s="21"/>
      <c r="X44" s="21"/>
      <c r="Y44" s="21"/>
      <c r="Z44" s="21"/>
      <c r="AA44" s="21"/>
      <c r="AB44" s="21"/>
    </row>
    <row r="45" spans="1:28" ht="30" hidden="1" customHeight="1" x14ac:dyDescent="0.25">
      <c r="A45" s="59">
        <v>39</v>
      </c>
      <c r="B45" s="65"/>
      <c r="C45" s="65" t="s">
        <v>17</v>
      </c>
      <c r="D45" s="56" t="s">
        <v>53</v>
      </c>
      <c r="E45" s="43" t="s">
        <v>112</v>
      </c>
      <c r="F45" s="63" t="s">
        <v>786</v>
      </c>
      <c r="G45" s="63" t="s">
        <v>113</v>
      </c>
      <c r="H45" s="60" t="s">
        <v>114</v>
      </c>
      <c r="I45" s="63" t="s">
        <v>769</v>
      </c>
      <c r="J45" s="63" t="s">
        <v>115</v>
      </c>
      <c r="K45" s="63"/>
      <c r="L45" s="63"/>
      <c r="M45" s="43" t="s">
        <v>83</v>
      </c>
      <c r="N45" s="43" t="s">
        <v>745</v>
      </c>
      <c r="O45" s="57">
        <v>46058</v>
      </c>
      <c r="P45" s="57" t="str" cm="1">
        <f t="array" aca="1" ref="P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5" s="57" t="str" cm="1">
        <f t="array" aca="1" ref="Q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5" s="61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1:28" ht="30" hidden="1" customHeight="1" x14ac:dyDescent="0.25">
      <c r="A46" s="59">
        <v>40</v>
      </c>
      <c r="B46" s="65"/>
      <c r="C46" s="65" t="s">
        <v>17</v>
      </c>
      <c r="D46" s="56" t="s">
        <v>53</v>
      </c>
      <c r="E46" s="43"/>
      <c r="F46" s="63" t="s">
        <v>786</v>
      </c>
      <c r="G46" s="63" t="s">
        <v>767</v>
      </c>
      <c r="H46" s="60" t="s">
        <v>768</v>
      </c>
      <c r="I46" s="63" t="s">
        <v>769</v>
      </c>
      <c r="J46" s="63" t="s">
        <v>115</v>
      </c>
      <c r="K46" s="63"/>
      <c r="L46" s="63"/>
      <c r="M46" s="43" t="s">
        <v>83</v>
      </c>
      <c r="N46" s="43" t="s">
        <v>745</v>
      </c>
      <c r="O46" s="57">
        <v>46058</v>
      </c>
      <c r="P46" s="57" t="str" cm="1">
        <f t="array" aca="1" ref="P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6" s="57" t="str" cm="1">
        <f t="array" aca="1" ref="Q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6" s="61"/>
      <c r="S46" s="21"/>
      <c r="T46" s="21"/>
      <c r="U46" s="21"/>
      <c r="V46" s="21"/>
      <c r="W46" s="21"/>
      <c r="X46" s="21"/>
      <c r="Y46" s="21"/>
      <c r="Z46" s="21"/>
      <c r="AA46" s="21"/>
      <c r="AB46" s="21"/>
    </row>
    <row r="47" spans="1:28" ht="30" hidden="1" customHeight="1" x14ac:dyDescent="0.25">
      <c r="A47" s="59">
        <v>41</v>
      </c>
      <c r="B47" s="65"/>
      <c r="C47" s="65" t="s">
        <v>17</v>
      </c>
      <c r="D47" s="56" t="s">
        <v>53</v>
      </c>
      <c r="E47" s="43"/>
      <c r="F47" s="63" t="s">
        <v>116</v>
      </c>
      <c r="G47" s="63" t="s">
        <v>117</v>
      </c>
      <c r="H47" s="60" t="s">
        <v>118</v>
      </c>
      <c r="I47" s="63" t="s">
        <v>119</v>
      </c>
      <c r="J47" s="63" t="s">
        <v>115</v>
      </c>
      <c r="K47" s="63"/>
      <c r="L47" s="63"/>
      <c r="M47" s="43" t="s">
        <v>83</v>
      </c>
      <c r="N47" s="43" t="s">
        <v>745</v>
      </c>
      <c r="O47" s="57">
        <v>46058</v>
      </c>
      <c r="P47" s="57" t="str" cm="1">
        <f t="array" aca="1" ref="P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7" s="57" t="str" cm="1">
        <f t="array" aca="1" ref="Q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7" s="62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1:28" ht="30" hidden="1" customHeight="1" x14ac:dyDescent="0.25">
      <c r="A48" s="59">
        <v>42</v>
      </c>
      <c r="B48" s="137"/>
      <c r="C48" s="65" t="s">
        <v>17</v>
      </c>
      <c r="D48" s="56" t="s">
        <v>53</v>
      </c>
      <c r="E48" s="43" t="s">
        <v>120</v>
      </c>
      <c r="F48" s="63" t="s">
        <v>121</v>
      </c>
      <c r="G48" s="56" t="s">
        <v>122</v>
      </c>
      <c r="H48" s="60" t="s">
        <v>123</v>
      </c>
      <c r="I48" s="63" t="s">
        <v>124</v>
      </c>
      <c r="J48" s="63" t="s">
        <v>23</v>
      </c>
      <c r="K48" s="63"/>
      <c r="L48" s="63"/>
      <c r="M48" s="43" t="s">
        <v>83</v>
      </c>
      <c r="N48" s="43" t="s">
        <v>745</v>
      </c>
      <c r="O48" s="57">
        <v>45613</v>
      </c>
      <c r="P48" s="57" t="str" cm="1">
        <f t="array" aca="1" ref="P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8" s="57" t="str" cm="1">
        <f t="array" aca="1" ref="Q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8" s="62" t="s">
        <v>108</v>
      </c>
      <c r="S48" s="21"/>
      <c r="T48" s="21"/>
      <c r="U48" s="21"/>
      <c r="V48" s="21"/>
      <c r="W48" s="21"/>
      <c r="X48" s="21"/>
      <c r="Y48" s="21"/>
      <c r="Z48" s="21"/>
      <c r="AA48" s="21"/>
      <c r="AB48" s="21"/>
    </row>
    <row r="49" spans="1:28" ht="30" hidden="1" customHeight="1" x14ac:dyDescent="0.25">
      <c r="A49" s="59">
        <v>43</v>
      </c>
      <c r="B49" s="56"/>
      <c r="C49" s="65" t="s">
        <v>17</v>
      </c>
      <c r="D49" s="56" t="s">
        <v>53</v>
      </c>
      <c r="E49" s="43"/>
      <c r="F49" s="63" t="s">
        <v>125</v>
      </c>
      <c r="G49" s="63">
        <v>3102632</v>
      </c>
      <c r="H49" s="60" t="s">
        <v>126</v>
      </c>
      <c r="I49" s="63" t="s">
        <v>127</v>
      </c>
      <c r="J49" s="63" t="s">
        <v>115</v>
      </c>
      <c r="K49" s="63"/>
      <c r="L49" s="63"/>
      <c r="M49" s="43" t="s">
        <v>83</v>
      </c>
      <c r="N49" s="43" t="s">
        <v>745</v>
      </c>
      <c r="O49" s="57">
        <v>46058</v>
      </c>
      <c r="P49" s="57" t="str" cm="1">
        <f t="array" aca="1" ref="P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49" s="57" t="str" cm="1">
        <f t="array" aca="1" ref="Q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49" s="62"/>
      <c r="S49" s="21"/>
      <c r="T49" s="21"/>
      <c r="U49" s="21"/>
      <c r="V49" s="21"/>
      <c r="W49" s="21"/>
      <c r="X49" s="21"/>
      <c r="Y49" s="21"/>
      <c r="Z49" s="21"/>
      <c r="AA49" s="21"/>
      <c r="AB49" s="21"/>
    </row>
    <row r="50" spans="1:28" ht="30" hidden="1" customHeight="1" x14ac:dyDescent="0.25">
      <c r="A50" s="59">
        <v>44</v>
      </c>
      <c r="B50" s="56"/>
      <c r="C50" s="65" t="s">
        <v>17</v>
      </c>
      <c r="D50" s="56" t="s">
        <v>53</v>
      </c>
      <c r="E50" s="43"/>
      <c r="F50" s="63" t="s">
        <v>125</v>
      </c>
      <c r="G50" s="63" t="s">
        <v>128</v>
      </c>
      <c r="H50" s="60" t="s">
        <v>129</v>
      </c>
      <c r="I50" s="63" t="s">
        <v>127</v>
      </c>
      <c r="J50" s="63" t="s">
        <v>23</v>
      </c>
      <c r="K50" s="63"/>
      <c r="L50" s="63"/>
      <c r="M50" s="43" t="s">
        <v>83</v>
      </c>
      <c r="N50" s="43" t="s">
        <v>745</v>
      </c>
      <c r="O50" s="57">
        <v>46058</v>
      </c>
      <c r="P50" s="57" t="str" cm="1">
        <f t="array" aca="1" ref="P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0" s="57" t="str" cm="1">
        <f t="array" aca="1" ref="Q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0" s="61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1:28" ht="30" hidden="1" customHeight="1" x14ac:dyDescent="0.25">
      <c r="A51" s="59">
        <v>45</v>
      </c>
      <c r="B51" s="56"/>
      <c r="C51" s="65" t="s">
        <v>17</v>
      </c>
      <c r="D51" s="56" t="s">
        <v>53</v>
      </c>
      <c r="E51" s="43"/>
      <c r="F51" s="63" t="s">
        <v>125</v>
      </c>
      <c r="G51" s="63" t="s">
        <v>130</v>
      </c>
      <c r="H51" s="60" t="s">
        <v>129</v>
      </c>
      <c r="I51" s="63" t="s">
        <v>127</v>
      </c>
      <c r="J51" s="63" t="s">
        <v>23</v>
      </c>
      <c r="K51" s="63"/>
      <c r="L51" s="63"/>
      <c r="M51" s="43" t="s">
        <v>83</v>
      </c>
      <c r="N51" s="43" t="s">
        <v>745</v>
      </c>
      <c r="O51" s="57">
        <v>46058</v>
      </c>
      <c r="P51" s="57" t="str" cm="1">
        <f t="array" aca="1" ref="P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1" s="57" t="str" cm="1">
        <f t="array" aca="1" ref="Q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1" s="61"/>
      <c r="S51" s="21"/>
      <c r="T51" s="21"/>
      <c r="U51" s="21"/>
      <c r="V51" s="21"/>
      <c r="W51" s="21"/>
      <c r="X51" s="21"/>
      <c r="Y51" s="21"/>
      <c r="Z51" s="21"/>
      <c r="AA51" s="21"/>
      <c r="AB51" s="21"/>
    </row>
    <row r="52" spans="1:28" ht="30" hidden="1" customHeight="1" x14ac:dyDescent="0.25">
      <c r="A52" s="59">
        <v>46</v>
      </c>
      <c r="B52" s="56"/>
      <c r="C52" s="65" t="s">
        <v>17</v>
      </c>
      <c r="D52" s="56" t="s">
        <v>40</v>
      </c>
      <c r="E52" s="43" t="s">
        <v>676</v>
      </c>
      <c r="F52" s="63" t="s">
        <v>132</v>
      </c>
      <c r="G52" s="56">
        <v>1230155</v>
      </c>
      <c r="H52" s="60" t="s">
        <v>133</v>
      </c>
      <c r="I52" s="63" t="s">
        <v>97</v>
      </c>
      <c r="J52" s="63" t="s">
        <v>23</v>
      </c>
      <c r="K52" s="63"/>
      <c r="L52" s="63"/>
      <c r="M52" s="43" t="s">
        <v>24</v>
      </c>
      <c r="N52" s="43"/>
      <c r="O52" s="57">
        <v>45619</v>
      </c>
      <c r="P52" s="57" t="str" cm="1">
        <f t="array" aca="1" ref="P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2" s="57" t="str" cm="1">
        <f t="array" aca="1" ref="Q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2" s="62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1:28" ht="30" hidden="1" customHeight="1" x14ac:dyDescent="0.25">
      <c r="A53" s="59">
        <v>47</v>
      </c>
      <c r="B53" s="137"/>
      <c r="C53" s="65" t="s">
        <v>17</v>
      </c>
      <c r="D53" s="56" t="s">
        <v>40</v>
      </c>
      <c r="E53" s="43" t="s">
        <v>677</v>
      </c>
      <c r="F53" s="63" t="s">
        <v>134</v>
      </c>
      <c r="G53" s="43">
        <v>6185365</v>
      </c>
      <c r="H53" s="60" t="s">
        <v>135</v>
      </c>
      <c r="I53" s="63" t="s">
        <v>136</v>
      </c>
      <c r="J53" s="63" t="s">
        <v>23</v>
      </c>
      <c r="K53" s="63"/>
      <c r="L53" s="63"/>
      <c r="M53" s="43" t="s">
        <v>24</v>
      </c>
      <c r="N53" s="43" t="s">
        <v>45</v>
      </c>
      <c r="O53" s="57">
        <v>45682</v>
      </c>
      <c r="P53" s="57" t="str" cm="1">
        <f t="array" aca="1" ref="P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3" s="57" t="str" cm="1">
        <f t="array" aca="1" ref="Q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3" s="62" t="s">
        <v>89</v>
      </c>
      <c r="S53" s="21"/>
      <c r="T53" s="21"/>
      <c r="U53" s="21"/>
      <c r="V53" s="21"/>
      <c r="W53" s="21"/>
      <c r="X53" s="21"/>
      <c r="Y53" s="21"/>
      <c r="Z53" s="21"/>
      <c r="AA53" s="21"/>
      <c r="AB53" s="21"/>
    </row>
    <row r="54" spans="1:28" ht="30" hidden="1" customHeight="1" x14ac:dyDescent="0.25">
      <c r="A54" s="59">
        <v>48</v>
      </c>
      <c r="B54" s="65"/>
      <c r="C54" s="65" t="s">
        <v>17</v>
      </c>
      <c r="D54" s="56" t="s">
        <v>40</v>
      </c>
      <c r="E54" s="63"/>
      <c r="F54" s="63" t="s">
        <v>1370</v>
      </c>
      <c r="G54" s="43">
        <v>30250050090</v>
      </c>
      <c r="H54" s="60" t="s">
        <v>1368</v>
      </c>
      <c r="I54" s="134" t="s">
        <v>1369</v>
      </c>
      <c r="J54" s="63" t="s">
        <v>23</v>
      </c>
      <c r="K54" s="63"/>
      <c r="L54" s="63"/>
      <c r="M54" s="43" t="s">
        <v>24</v>
      </c>
      <c r="N54" s="43" t="s">
        <v>45</v>
      </c>
      <c r="O54" s="57">
        <v>46195</v>
      </c>
      <c r="P54" s="57" t="str" cm="1">
        <f t="array" aca="1" ref="P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4" s="57" t="str" cm="1">
        <f t="array" aca="1" ref="Q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4" s="62"/>
      <c r="S54" s="21"/>
      <c r="T54" s="21"/>
      <c r="U54" s="21"/>
      <c r="V54" s="21"/>
      <c r="W54" s="21"/>
      <c r="X54" s="21"/>
      <c r="Y54" s="21"/>
      <c r="Z54" s="21"/>
      <c r="AA54" s="21"/>
      <c r="AB54" s="21"/>
    </row>
    <row r="55" spans="1:28" ht="30" hidden="1" customHeight="1" x14ac:dyDescent="0.25">
      <c r="A55" s="59">
        <v>49</v>
      </c>
      <c r="B55" s="65"/>
      <c r="C55" s="65" t="s">
        <v>17</v>
      </c>
      <c r="D55" s="56" t="s">
        <v>76</v>
      </c>
      <c r="E55" s="43"/>
      <c r="F55" s="63" t="s">
        <v>137</v>
      </c>
      <c r="G55" s="56" t="s">
        <v>138</v>
      </c>
      <c r="H55" s="60" t="s">
        <v>139</v>
      </c>
      <c r="I55" s="63" t="s">
        <v>140</v>
      </c>
      <c r="J55" s="63" t="s">
        <v>23</v>
      </c>
      <c r="K55" s="63"/>
      <c r="L55" s="63"/>
      <c r="M55" s="43" t="s">
        <v>83</v>
      </c>
      <c r="N55" s="43" t="s">
        <v>141</v>
      </c>
      <c r="O55" s="57">
        <v>46050</v>
      </c>
      <c r="P55" s="57" t="str" cm="1">
        <f t="array" aca="1" ref="P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5" s="57" t="str" cm="1">
        <f t="array" aca="1" ref="Q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5" s="62" t="s">
        <v>142</v>
      </c>
      <c r="S55" s="21"/>
      <c r="T55" s="21"/>
      <c r="U55" s="21"/>
      <c r="V55" s="21"/>
      <c r="W55" s="21"/>
      <c r="X55" s="21"/>
      <c r="Y55" s="21"/>
      <c r="Z55" s="21"/>
      <c r="AA55" s="21"/>
      <c r="AB55" s="21"/>
    </row>
    <row r="56" spans="1:28" ht="30" hidden="1" customHeight="1" x14ac:dyDescent="0.25">
      <c r="A56" s="59">
        <v>50</v>
      </c>
      <c r="B56" s="56"/>
      <c r="C56" s="65" t="s">
        <v>17</v>
      </c>
      <c r="D56" s="56" t="s">
        <v>76</v>
      </c>
      <c r="E56" s="43"/>
      <c r="F56" s="65" t="s">
        <v>137</v>
      </c>
      <c r="G56" s="56" t="s">
        <v>1336</v>
      </c>
      <c r="H56" s="60" t="s">
        <v>1335</v>
      </c>
      <c r="I56" s="63" t="s">
        <v>1108</v>
      </c>
      <c r="J56" s="63" t="s">
        <v>448</v>
      </c>
      <c r="K56" s="63"/>
      <c r="L56" s="63"/>
      <c r="M56" s="43" t="s">
        <v>83</v>
      </c>
      <c r="N56" s="43" t="s">
        <v>141</v>
      </c>
      <c r="O56" s="57">
        <v>46192</v>
      </c>
      <c r="P56" s="57" t="str" cm="1">
        <f t="array" aca="1" ref="P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6" s="57" t="str" cm="1">
        <f t="array" aca="1" ref="Q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6" s="62"/>
      <c r="S56" s="21"/>
      <c r="T56" s="21"/>
      <c r="U56" s="21"/>
      <c r="V56" s="21"/>
      <c r="W56" s="21"/>
      <c r="X56" s="21"/>
      <c r="Y56" s="21"/>
      <c r="Z56" s="21"/>
      <c r="AA56" s="21"/>
      <c r="AB56" s="21"/>
    </row>
    <row r="57" spans="1:28" ht="30" hidden="1" customHeight="1" x14ac:dyDescent="0.25">
      <c r="A57" s="59">
        <v>51</v>
      </c>
      <c r="B57" s="56"/>
      <c r="C57" s="65" t="s">
        <v>17</v>
      </c>
      <c r="D57" s="56" t="s">
        <v>76</v>
      </c>
      <c r="E57" s="43"/>
      <c r="F57" s="65" t="s">
        <v>137</v>
      </c>
      <c r="G57" s="56" t="s">
        <v>1107</v>
      </c>
      <c r="H57" s="60" t="s">
        <v>1109</v>
      </c>
      <c r="I57" s="63" t="s">
        <v>1108</v>
      </c>
      <c r="J57" s="63" t="s">
        <v>448</v>
      </c>
      <c r="K57" s="63"/>
      <c r="L57" s="63"/>
      <c r="M57" s="43" t="s">
        <v>83</v>
      </c>
      <c r="N57" s="43" t="s">
        <v>141</v>
      </c>
      <c r="O57" s="57">
        <v>46293</v>
      </c>
      <c r="P57" s="57" t="str" cm="1">
        <f t="array" aca="1" ref="P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7" s="57" t="str" cm="1">
        <f t="array" aca="1" ref="Q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7" s="62"/>
      <c r="S57" s="21"/>
      <c r="T57" s="21"/>
      <c r="U57" s="21"/>
      <c r="V57" s="21"/>
      <c r="W57" s="21"/>
      <c r="X57" s="21"/>
      <c r="Y57" s="21"/>
      <c r="Z57" s="21"/>
      <c r="AA57" s="21"/>
      <c r="AB57" s="21"/>
    </row>
    <row r="58" spans="1:28" ht="30" hidden="1" customHeight="1" x14ac:dyDescent="0.25">
      <c r="A58" s="59">
        <v>52</v>
      </c>
      <c r="B58" s="56"/>
      <c r="C58" s="65" t="s">
        <v>17</v>
      </c>
      <c r="D58" s="56" t="s">
        <v>76</v>
      </c>
      <c r="E58" s="43"/>
      <c r="F58" s="65" t="s">
        <v>143</v>
      </c>
      <c r="G58" s="43" t="s">
        <v>144</v>
      </c>
      <c r="H58" s="60" t="s">
        <v>145</v>
      </c>
      <c r="I58" s="63" t="s">
        <v>146</v>
      </c>
      <c r="J58" s="63" t="s">
        <v>23</v>
      </c>
      <c r="K58" s="63"/>
      <c r="L58" s="63"/>
      <c r="M58" s="43" t="s">
        <v>83</v>
      </c>
      <c r="N58" s="43" t="s">
        <v>141</v>
      </c>
      <c r="O58" s="57">
        <v>46050</v>
      </c>
      <c r="P58" s="57" t="str" cm="1">
        <f t="array" aca="1" ref="P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8" s="57" t="str" cm="1">
        <f t="array" aca="1" ref="Q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8" s="62" t="s">
        <v>1338</v>
      </c>
      <c r="S58" s="21"/>
      <c r="T58" s="21"/>
      <c r="U58" s="21"/>
      <c r="V58" s="21"/>
      <c r="W58" s="21"/>
      <c r="X58" s="21"/>
      <c r="Y58" s="21"/>
      <c r="Z58" s="21"/>
      <c r="AA58" s="21"/>
      <c r="AB58" s="21"/>
    </row>
    <row r="59" spans="1:28" ht="39.75" hidden="1" customHeight="1" x14ac:dyDescent="0.25">
      <c r="A59" s="59">
        <v>53</v>
      </c>
      <c r="B59" s="65"/>
      <c r="C59" s="65" t="s">
        <v>17</v>
      </c>
      <c r="D59" s="56" t="s">
        <v>76</v>
      </c>
      <c r="E59" s="43"/>
      <c r="F59" s="65" t="s">
        <v>143</v>
      </c>
      <c r="G59" s="43" t="s">
        <v>725</v>
      </c>
      <c r="H59" s="60" t="s">
        <v>145</v>
      </c>
      <c r="I59" s="63" t="s">
        <v>723</v>
      </c>
      <c r="J59" s="63" t="s">
        <v>448</v>
      </c>
      <c r="K59" s="63"/>
      <c r="L59" s="63"/>
      <c r="M59" s="43" t="s">
        <v>83</v>
      </c>
      <c r="N59" s="43" t="s">
        <v>141</v>
      </c>
      <c r="O59" s="57">
        <v>46195</v>
      </c>
      <c r="P59" s="57" t="str" cm="1">
        <f t="array" aca="1" ref="P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59" s="57" t="str" cm="1">
        <f t="array" aca="1" ref="Q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59" s="62"/>
      <c r="S59" s="21"/>
      <c r="T59" s="21"/>
      <c r="U59" s="21"/>
      <c r="V59" s="21"/>
      <c r="W59" s="21"/>
      <c r="X59" s="21"/>
      <c r="Y59" s="21"/>
      <c r="Z59" s="21"/>
      <c r="AA59" s="21"/>
      <c r="AB59" s="21"/>
    </row>
    <row r="60" spans="1:28" ht="36" hidden="1" customHeight="1" x14ac:dyDescent="0.25">
      <c r="A60" s="59">
        <v>54</v>
      </c>
      <c r="B60" s="138"/>
      <c r="C60" s="65" t="s">
        <v>17</v>
      </c>
      <c r="D60" s="56" t="s">
        <v>76</v>
      </c>
      <c r="E60" s="43"/>
      <c r="F60" s="65" t="s">
        <v>143</v>
      </c>
      <c r="G60" s="43" t="s">
        <v>722</v>
      </c>
      <c r="H60" s="60" t="s">
        <v>145</v>
      </c>
      <c r="I60" s="63" t="s">
        <v>723</v>
      </c>
      <c r="J60" s="63" t="s">
        <v>448</v>
      </c>
      <c r="K60" s="63"/>
      <c r="L60" s="63"/>
      <c r="M60" s="43" t="s">
        <v>83</v>
      </c>
      <c r="N60" s="43" t="s">
        <v>141</v>
      </c>
      <c r="O60" s="57">
        <v>46001</v>
      </c>
      <c r="P60" s="57" t="str" cm="1">
        <f t="array" aca="1" ref="P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0" s="57" t="str" cm="1">
        <f t="array" aca="1" ref="Q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0" s="62" t="s">
        <v>1078</v>
      </c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1:28" ht="36" hidden="1" customHeight="1" x14ac:dyDescent="0.25">
      <c r="A61" s="59">
        <v>55</v>
      </c>
      <c r="B61" s="138"/>
      <c r="C61" s="65" t="s">
        <v>17</v>
      </c>
      <c r="D61" s="56" t="s">
        <v>76</v>
      </c>
      <c r="E61" s="43"/>
      <c r="F61" s="65" t="s">
        <v>143</v>
      </c>
      <c r="G61" s="43" t="s">
        <v>724</v>
      </c>
      <c r="H61" s="60" t="s">
        <v>145</v>
      </c>
      <c r="I61" s="63" t="s">
        <v>723</v>
      </c>
      <c r="J61" s="63" t="s">
        <v>448</v>
      </c>
      <c r="K61" s="63"/>
      <c r="L61" s="63"/>
      <c r="M61" s="43" t="s">
        <v>83</v>
      </c>
      <c r="N61" s="43" t="s">
        <v>141</v>
      </c>
      <c r="O61" s="57">
        <v>46001</v>
      </c>
      <c r="P61" s="57" t="str" cm="1">
        <f t="array" aca="1" ref="P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1" s="57" t="str" cm="1">
        <f t="array" aca="1" ref="Q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1" s="62" t="s">
        <v>1331</v>
      </c>
      <c r="S61" s="21"/>
      <c r="T61" s="21"/>
      <c r="U61" s="21"/>
      <c r="V61" s="21"/>
      <c r="W61" s="21"/>
      <c r="X61" s="21"/>
      <c r="Y61" s="21"/>
      <c r="Z61" s="21"/>
      <c r="AA61" s="21"/>
      <c r="AB61" s="21"/>
    </row>
    <row r="62" spans="1:28" ht="30" hidden="1" customHeight="1" x14ac:dyDescent="0.25">
      <c r="A62" s="59">
        <v>56</v>
      </c>
      <c r="B62" s="56"/>
      <c r="C62" s="65" t="s">
        <v>17</v>
      </c>
      <c r="D62" s="56" t="s">
        <v>189</v>
      </c>
      <c r="E62" s="43"/>
      <c r="F62" s="65" t="s">
        <v>708</v>
      </c>
      <c r="G62" s="43">
        <v>67773901</v>
      </c>
      <c r="H62" s="60" t="s">
        <v>713</v>
      </c>
      <c r="I62" s="63"/>
      <c r="J62" s="63" t="s">
        <v>23</v>
      </c>
      <c r="K62" s="63"/>
      <c r="L62" s="63"/>
      <c r="M62" s="43" t="s">
        <v>24</v>
      </c>
      <c r="N62" s="64" t="s">
        <v>797</v>
      </c>
      <c r="O62" s="57">
        <v>46127</v>
      </c>
      <c r="P62" s="57" t="str" cm="1">
        <f t="array" aca="1" ref="P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2" s="57" t="str" cm="1">
        <f t="array" aca="1" ref="Q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2" s="61" t="s">
        <v>25</v>
      </c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28" ht="30" hidden="1" customHeight="1" x14ac:dyDescent="0.25">
      <c r="A63" s="59">
        <v>57</v>
      </c>
      <c r="B63" s="56"/>
      <c r="C63" s="65" t="s">
        <v>17</v>
      </c>
      <c r="D63" s="56" t="s">
        <v>53</v>
      </c>
      <c r="E63" s="43" t="s">
        <v>678</v>
      </c>
      <c r="F63" s="65" t="s">
        <v>147</v>
      </c>
      <c r="G63" s="56" t="s">
        <v>148</v>
      </c>
      <c r="H63" s="60" t="s">
        <v>149</v>
      </c>
      <c r="I63" s="63" t="s">
        <v>150</v>
      </c>
      <c r="J63" s="63" t="s">
        <v>23</v>
      </c>
      <c r="K63" s="63"/>
      <c r="L63" s="63"/>
      <c r="M63" s="43" t="s">
        <v>24</v>
      </c>
      <c r="N63" s="43" t="s">
        <v>45</v>
      </c>
      <c r="O63" s="57">
        <v>45929</v>
      </c>
      <c r="P63" s="57" t="str" cm="1">
        <f t="array" aca="1" ref="P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3" s="57" t="str" cm="1">
        <f t="array" aca="1" ref="Q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3" s="62"/>
      <c r="S63" s="21"/>
      <c r="T63" s="21"/>
      <c r="U63" s="21"/>
      <c r="V63" s="21"/>
      <c r="W63" s="21"/>
      <c r="X63" s="21"/>
      <c r="Y63" s="21"/>
      <c r="Z63" s="21"/>
      <c r="AA63" s="21"/>
      <c r="AB63" s="21"/>
    </row>
    <row r="64" spans="1:28" ht="41.25" hidden="1" customHeight="1" x14ac:dyDescent="0.25">
      <c r="A64" s="59">
        <v>58</v>
      </c>
      <c r="B64" s="56"/>
      <c r="C64" s="65" t="s">
        <v>17</v>
      </c>
      <c r="D64" s="56" t="s">
        <v>189</v>
      </c>
      <c r="E64" s="43"/>
      <c r="F64" s="65" t="s">
        <v>147</v>
      </c>
      <c r="G64" s="43">
        <v>7046016</v>
      </c>
      <c r="H64" s="60" t="s">
        <v>710</v>
      </c>
      <c r="I64" s="63" t="s">
        <v>711</v>
      </c>
      <c r="J64" s="63" t="s">
        <v>23</v>
      </c>
      <c r="K64" s="63"/>
      <c r="L64" s="63"/>
      <c r="M64" s="43" t="s">
        <v>24</v>
      </c>
      <c r="N64" s="64" t="s">
        <v>45</v>
      </c>
      <c r="O64" s="57">
        <v>46062</v>
      </c>
      <c r="P64" s="57" t="str" cm="1">
        <f t="array" aca="1" ref="P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4" s="57" t="str" cm="1">
        <f t="array" aca="1" ref="Q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4" s="61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1:28" ht="30" hidden="1" customHeight="1" x14ac:dyDescent="0.25">
      <c r="A65" s="59">
        <v>59</v>
      </c>
      <c r="B65" s="56"/>
      <c r="C65" s="65" t="s">
        <v>17</v>
      </c>
      <c r="D65" s="56" t="s">
        <v>40</v>
      </c>
      <c r="E65" s="43" t="s">
        <v>679</v>
      </c>
      <c r="F65" s="65" t="s">
        <v>151</v>
      </c>
      <c r="G65" s="43">
        <v>6269278</v>
      </c>
      <c r="H65" s="60" t="s">
        <v>152</v>
      </c>
      <c r="I65" s="63" t="s">
        <v>153</v>
      </c>
      <c r="J65" s="63" t="s">
        <v>23</v>
      </c>
      <c r="K65" s="63"/>
      <c r="L65" s="63"/>
      <c r="M65" s="43" t="s">
        <v>24</v>
      </c>
      <c r="N65" s="43" t="s">
        <v>45</v>
      </c>
      <c r="O65" s="57">
        <v>46099</v>
      </c>
      <c r="P65" s="57" t="str" cm="1">
        <f t="array" aca="1" ref="P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5" s="57" t="str" cm="1">
        <f t="array" aca="1" ref="Q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5" s="62"/>
      <c r="S65" s="21"/>
      <c r="T65" s="21"/>
      <c r="U65" s="21"/>
      <c r="V65" s="21"/>
      <c r="W65" s="21"/>
      <c r="X65" s="21"/>
      <c r="Y65" s="21"/>
      <c r="Z65" s="21"/>
      <c r="AA65" s="21"/>
      <c r="AB65" s="21"/>
    </row>
    <row r="66" spans="1:28" ht="30" hidden="1" customHeight="1" x14ac:dyDescent="0.25">
      <c r="A66" s="59">
        <v>60</v>
      </c>
      <c r="B66" s="56"/>
      <c r="C66" s="65" t="s">
        <v>17</v>
      </c>
      <c r="D66" s="56" t="s">
        <v>40</v>
      </c>
      <c r="E66" s="43" t="s">
        <v>680</v>
      </c>
      <c r="F66" s="65" t="s">
        <v>154</v>
      </c>
      <c r="G66" s="56">
        <v>3212012</v>
      </c>
      <c r="H66" s="60" t="s">
        <v>152</v>
      </c>
      <c r="I66" s="63" t="s">
        <v>153</v>
      </c>
      <c r="J66" s="63" t="s">
        <v>23</v>
      </c>
      <c r="K66" s="63"/>
      <c r="L66" s="63"/>
      <c r="M66" s="43" t="s">
        <v>24</v>
      </c>
      <c r="N66" s="43" t="s">
        <v>45</v>
      </c>
      <c r="O66" s="57">
        <v>46099</v>
      </c>
      <c r="P66" s="57" t="str" cm="1">
        <f t="array" aca="1" ref="P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6" s="57" t="str" cm="1">
        <f t="array" aca="1" ref="Q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6" s="62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1:28" ht="30" hidden="1" customHeight="1" x14ac:dyDescent="0.25">
      <c r="A67" s="59">
        <v>61</v>
      </c>
      <c r="B67" s="56"/>
      <c r="C67" s="65" t="s">
        <v>17</v>
      </c>
      <c r="D67" s="56" t="s">
        <v>76</v>
      </c>
      <c r="E67" s="43" t="s">
        <v>681</v>
      </c>
      <c r="F67" s="65" t="s">
        <v>155</v>
      </c>
      <c r="G67" s="43" t="s">
        <v>156</v>
      </c>
      <c r="H67" s="60" t="s">
        <v>157</v>
      </c>
      <c r="I67" s="63" t="s">
        <v>97</v>
      </c>
      <c r="J67" s="63" t="s">
        <v>23</v>
      </c>
      <c r="K67" s="63"/>
      <c r="L67" s="63"/>
      <c r="M67" s="43" t="s">
        <v>24</v>
      </c>
      <c r="N67" s="43" t="s">
        <v>45</v>
      </c>
      <c r="O67" s="57">
        <v>46102</v>
      </c>
      <c r="P67" s="57" t="str" cm="1">
        <f t="array" aca="1" ref="P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7" s="57" t="str" cm="1">
        <f t="array" aca="1" ref="Q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7" s="62"/>
      <c r="S67" s="21"/>
      <c r="T67" s="21"/>
      <c r="U67" s="21"/>
      <c r="V67" s="21"/>
      <c r="W67" s="21"/>
      <c r="X67" s="21"/>
      <c r="Y67" s="21"/>
      <c r="Z67" s="21"/>
      <c r="AA67" s="21"/>
      <c r="AB67" s="21"/>
    </row>
    <row r="68" spans="1:28" ht="30" hidden="1" customHeight="1" x14ac:dyDescent="0.25">
      <c r="A68" s="59">
        <v>62</v>
      </c>
      <c r="B68" s="56"/>
      <c r="C68" s="65" t="s">
        <v>17</v>
      </c>
      <c r="D68" s="56" t="s">
        <v>40</v>
      </c>
      <c r="E68" s="43" t="s">
        <v>683</v>
      </c>
      <c r="F68" s="65" t="s">
        <v>155</v>
      </c>
      <c r="G68" s="65">
        <v>62210118</v>
      </c>
      <c r="H68" s="60" t="s">
        <v>159</v>
      </c>
      <c r="I68" s="63" t="s">
        <v>97</v>
      </c>
      <c r="J68" s="63" t="s">
        <v>23</v>
      </c>
      <c r="K68" s="63"/>
      <c r="L68" s="63"/>
      <c r="M68" s="43" t="s">
        <v>24</v>
      </c>
      <c r="N68" s="43" t="s">
        <v>45</v>
      </c>
      <c r="O68" s="57">
        <v>45910</v>
      </c>
      <c r="P68" s="57" t="str" cm="1">
        <f t="array" aca="1" ref="P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8" s="57" t="str" cm="1">
        <f t="array" aca="1" ref="Q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8" s="62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1:28" ht="30" hidden="1" customHeight="1" x14ac:dyDescent="0.25">
      <c r="A69" s="59">
        <v>63</v>
      </c>
      <c r="B69" s="56"/>
      <c r="C69" s="65" t="s">
        <v>17</v>
      </c>
      <c r="D69" s="56" t="s">
        <v>94</v>
      </c>
      <c r="E69" s="43" t="s">
        <v>684</v>
      </c>
      <c r="F69" s="65" t="s">
        <v>155</v>
      </c>
      <c r="G69" s="63" t="s">
        <v>160</v>
      </c>
      <c r="H69" s="60" t="s">
        <v>161</v>
      </c>
      <c r="I69" s="63" t="s">
        <v>97</v>
      </c>
      <c r="J69" s="63" t="s">
        <v>23</v>
      </c>
      <c r="K69" s="63"/>
      <c r="L69" s="63"/>
      <c r="M69" s="43" t="s">
        <v>24</v>
      </c>
      <c r="N69" s="43" t="s">
        <v>45</v>
      </c>
      <c r="O69" s="57">
        <v>45929</v>
      </c>
      <c r="P69" s="57" t="str" cm="1">
        <f t="array" aca="1" ref="P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69" s="57" t="str" cm="1">
        <f t="array" aca="1" ref="Q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69" s="62"/>
      <c r="S69" s="21"/>
      <c r="T69" s="21"/>
      <c r="U69" s="21"/>
      <c r="V69" s="21"/>
      <c r="W69" s="21"/>
      <c r="X69" s="21"/>
      <c r="Y69" s="21"/>
      <c r="Z69" s="21"/>
      <c r="AA69" s="21"/>
      <c r="AB69" s="21"/>
    </row>
    <row r="70" spans="1:28" ht="30" hidden="1" customHeight="1" x14ac:dyDescent="0.25">
      <c r="A70" s="59">
        <v>64</v>
      </c>
      <c r="B70" s="56"/>
      <c r="C70" s="65" t="s">
        <v>17</v>
      </c>
      <c r="D70" s="56" t="s">
        <v>40</v>
      </c>
      <c r="E70" s="43" t="s">
        <v>685</v>
      </c>
      <c r="F70" s="65" t="s">
        <v>155</v>
      </c>
      <c r="G70" s="63" t="s">
        <v>162</v>
      </c>
      <c r="H70" s="60" t="s">
        <v>163</v>
      </c>
      <c r="I70" s="63" t="s">
        <v>97</v>
      </c>
      <c r="J70" s="63" t="s">
        <v>23</v>
      </c>
      <c r="K70" s="63"/>
      <c r="L70" s="63"/>
      <c r="M70" s="43" t="s">
        <v>24</v>
      </c>
      <c r="N70" s="43" t="s">
        <v>45</v>
      </c>
      <c r="O70" s="57">
        <v>45910</v>
      </c>
      <c r="P70" s="57" t="str" cm="1">
        <f t="array" aca="1" ref="P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0" s="57" t="str" cm="1">
        <f t="array" aca="1" ref="Q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0" s="62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1:28" ht="30" hidden="1" customHeight="1" x14ac:dyDescent="0.25">
      <c r="A71" s="59">
        <v>65</v>
      </c>
      <c r="B71" s="56"/>
      <c r="C71" s="65" t="s">
        <v>17</v>
      </c>
      <c r="D71" s="56" t="s">
        <v>76</v>
      </c>
      <c r="E71" s="43" t="s">
        <v>686</v>
      </c>
      <c r="F71" s="65" t="s">
        <v>155</v>
      </c>
      <c r="G71" s="63" t="s">
        <v>164</v>
      </c>
      <c r="H71" s="60" t="s">
        <v>165</v>
      </c>
      <c r="I71" s="63" t="s">
        <v>97</v>
      </c>
      <c r="J71" s="63" t="s">
        <v>23</v>
      </c>
      <c r="K71" s="63"/>
      <c r="L71" s="63"/>
      <c r="M71" s="43" t="s">
        <v>24</v>
      </c>
      <c r="N71" s="43" t="s">
        <v>45</v>
      </c>
      <c r="O71" s="57">
        <v>45909</v>
      </c>
      <c r="P71" s="57" t="str" cm="1">
        <f t="array" aca="1" ref="P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1" s="57" t="str" cm="1">
        <f t="array" aca="1" ref="Q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1" s="62"/>
      <c r="S71" s="21"/>
      <c r="T71" s="21"/>
      <c r="U71" s="21"/>
      <c r="V71" s="21"/>
      <c r="W71" s="21"/>
      <c r="X71" s="21"/>
      <c r="Y71" s="21"/>
      <c r="Z71" s="21"/>
      <c r="AA71" s="21"/>
      <c r="AB71" s="21"/>
    </row>
    <row r="72" spans="1:28" ht="30" hidden="1" customHeight="1" x14ac:dyDescent="0.25">
      <c r="A72" s="59">
        <v>66</v>
      </c>
      <c r="B72" s="137"/>
      <c r="C72" s="65" t="s">
        <v>17</v>
      </c>
      <c r="D72" s="56" t="s">
        <v>33</v>
      </c>
      <c r="E72" s="43" t="s">
        <v>682</v>
      </c>
      <c r="F72" s="65" t="s">
        <v>155</v>
      </c>
      <c r="G72" s="56">
        <v>10510101</v>
      </c>
      <c r="H72" s="60" t="s">
        <v>158</v>
      </c>
      <c r="I72" s="63" t="s">
        <v>97</v>
      </c>
      <c r="J72" s="63" t="s">
        <v>23</v>
      </c>
      <c r="K72" s="63"/>
      <c r="L72" s="63"/>
      <c r="M72" s="43" t="s">
        <v>24</v>
      </c>
      <c r="N72" s="43" t="s">
        <v>45</v>
      </c>
      <c r="O72" s="57">
        <v>45572</v>
      </c>
      <c r="P72" s="57" t="str" cm="1">
        <f t="array" aca="1" ref="P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2" s="57" t="str" cm="1">
        <f t="array" aca="1" ref="Q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2" s="62" t="s">
        <v>89</v>
      </c>
      <c r="S72" s="15"/>
      <c r="T72" s="15"/>
      <c r="U72" s="15"/>
      <c r="V72" s="15"/>
      <c r="W72" s="15"/>
      <c r="X72" s="15"/>
      <c r="Y72" s="15"/>
      <c r="Z72" s="15"/>
      <c r="AA72" s="15"/>
      <c r="AB72" s="15"/>
    </row>
    <row r="73" spans="1:28" ht="24" hidden="1" x14ac:dyDescent="0.25">
      <c r="A73" s="59">
        <v>67</v>
      </c>
      <c r="B73" s="56"/>
      <c r="C73" s="65" t="s">
        <v>17</v>
      </c>
      <c r="D73" s="56" t="s">
        <v>53</v>
      </c>
      <c r="E73" s="43" t="s">
        <v>687</v>
      </c>
      <c r="F73" s="65" t="s">
        <v>166</v>
      </c>
      <c r="G73" s="63">
        <v>65560064</v>
      </c>
      <c r="H73" s="60" t="s">
        <v>747</v>
      </c>
      <c r="I73" s="63" t="s">
        <v>167</v>
      </c>
      <c r="J73" s="63" t="s">
        <v>23</v>
      </c>
      <c r="K73" s="63"/>
      <c r="L73" s="63"/>
      <c r="M73" s="43" t="s">
        <v>24</v>
      </c>
      <c r="N73" s="43" t="s">
        <v>45</v>
      </c>
      <c r="O73" s="57">
        <v>46222</v>
      </c>
      <c r="P73" s="57" t="str" cm="1">
        <f t="array" aca="1" ref="P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3" s="57" t="str" cm="1">
        <f t="array" aca="1" ref="Q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3" s="62"/>
      <c r="S73" s="21"/>
      <c r="T73" s="21"/>
      <c r="U73" s="21"/>
      <c r="V73" s="21"/>
      <c r="W73" s="21"/>
      <c r="X73" s="21"/>
      <c r="Y73" s="21"/>
      <c r="Z73" s="21"/>
      <c r="AA73" s="21"/>
      <c r="AB73" s="21"/>
    </row>
    <row r="74" spans="1:28" ht="30" hidden="1" customHeight="1" x14ac:dyDescent="0.25">
      <c r="A74" s="59">
        <v>68</v>
      </c>
      <c r="B74" s="56"/>
      <c r="C74" s="65" t="s">
        <v>17</v>
      </c>
      <c r="D74" s="56" t="s">
        <v>53</v>
      </c>
      <c r="E74" s="43" t="s">
        <v>688</v>
      </c>
      <c r="F74" s="65" t="s">
        <v>168</v>
      </c>
      <c r="G74" s="56">
        <v>93620040</v>
      </c>
      <c r="H74" s="60" t="s">
        <v>169</v>
      </c>
      <c r="I74" s="63" t="s">
        <v>97</v>
      </c>
      <c r="J74" s="63" t="s">
        <v>23</v>
      </c>
      <c r="K74" s="63"/>
      <c r="L74" s="63"/>
      <c r="M74" s="43" t="s">
        <v>24</v>
      </c>
      <c r="N74" s="43" t="s">
        <v>45</v>
      </c>
      <c r="O74" s="57">
        <v>45910</v>
      </c>
      <c r="P74" s="57" t="str" cm="1">
        <f t="array" aca="1" ref="P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4" s="57" t="str" cm="1">
        <f t="array" aca="1" ref="Q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4" s="62"/>
      <c r="S74" s="15"/>
      <c r="T74" s="15"/>
      <c r="U74" s="15"/>
      <c r="V74" s="15"/>
      <c r="W74" s="15"/>
      <c r="X74" s="15"/>
      <c r="Y74" s="15"/>
      <c r="Z74" s="15"/>
      <c r="AA74" s="15"/>
      <c r="AB74" s="15"/>
    </row>
    <row r="75" spans="1:28" ht="30" hidden="1" customHeight="1" x14ac:dyDescent="0.25">
      <c r="A75" s="59">
        <v>69</v>
      </c>
      <c r="B75" s="56"/>
      <c r="C75" s="65" t="s">
        <v>17</v>
      </c>
      <c r="D75" s="56" t="s">
        <v>40</v>
      </c>
      <c r="E75" s="43" t="s">
        <v>689</v>
      </c>
      <c r="F75" s="65" t="s">
        <v>170</v>
      </c>
      <c r="G75" s="43"/>
      <c r="H75" s="60" t="s">
        <v>171</v>
      </c>
      <c r="I75" s="63" t="s">
        <v>97</v>
      </c>
      <c r="J75" s="63" t="s">
        <v>23</v>
      </c>
      <c r="K75" s="63"/>
      <c r="L75" s="63"/>
      <c r="M75" s="43" t="s">
        <v>24</v>
      </c>
      <c r="N75" s="43" t="s">
        <v>45</v>
      </c>
      <c r="O75" s="57">
        <v>46010</v>
      </c>
      <c r="P75" s="57" t="str" cm="1">
        <f t="array" aca="1" ref="P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5" s="57" t="str" cm="1">
        <f t="array" aca="1" ref="Q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5" s="62"/>
      <c r="S75" s="21"/>
      <c r="T75" s="21"/>
      <c r="U75" s="21"/>
      <c r="V75" s="21"/>
      <c r="W75" s="21"/>
      <c r="X75" s="21"/>
      <c r="Y75" s="21"/>
      <c r="Z75" s="21"/>
      <c r="AA75" s="21"/>
      <c r="AB75" s="21"/>
    </row>
    <row r="76" spans="1:28" ht="30" hidden="1" customHeight="1" x14ac:dyDescent="0.25">
      <c r="A76" s="59">
        <v>70</v>
      </c>
      <c r="B76" s="56"/>
      <c r="C76" s="65" t="s">
        <v>17</v>
      </c>
      <c r="D76" s="56" t="s">
        <v>53</v>
      </c>
      <c r="E76" s="43" t="s">
        <v>172</v>
      </c>
      <c r="F76" s="65" t="s">
        <v>173</v>
      </c>
      <c r="G76" s="56"/>
      <c r="H76" s="60" t="s">
        <v>174</v>
      </c>
      <c r="I76" s="63" t="s">
        <v>175</v>
      </c>
      <c r="J76" s="63" t="s">
        <v>23</v>
      </c>
      <c r="K76" s="63"/>
      <c r="L76" s="63"/>
      <c r="M76" s="43" t="s">
        <v>83</v>
      </c>
      <c r="N76" s="43" t="s">
        <v>745</v>
      </c>
      <c r="O76" s="57">
        <v>46058</v>
      </c>
      <c r="P76" s="57" t="str" cm="1">
        <f t="array" aca="1" ref="P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6" s="57" t="str" cm="1">
        <f t="array" aca="1" ref="Q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6" s="62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spans="1:28" ht="30" hidden="1" customHeight="1" x14ac:dyDescent="0.25">
      <c r="A77" s="59">
        <v>71</v>
      </c>
      <c r="B77" s="56"/>
      <c r="C77" s="65" t="s">
        <v>17</v>
      </c>
      <c r="D77" s="56" t="s">
        <v>53</v>
      </c>
      <c r="E77" s="43" t="s">
        <v>176</v>
      </c>
      <c r="F77" s="65" t="s">
        <v>177</v>
      </c>
      <c r="G77" s="43" t="s">
        <v>178</v>
      </c>
      <c r="H77" s="60" t="s">
        <v>179</v>
      </c>
      <c r="I77" s="63" t="s">
        <v>180</v>
      </c>
      <c r="J77" s="63" t="s">
        <v>23</v>
      </c>
      <c r="K77" s="63"/>
      <c r="L77" s="63"/>
      <c r="M77" s="43" t="s">
        <v>83</v>
      </c>
      <c r="N77" s="43" t="s">
        <v>745</v>
      </c>
      <c r="O77" s="57">
        <v>46058</v>
      </c>
      <c r="P77" s="57" t="str" cm="1">
        <f t="array" aca="1" ref="P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7" s="57" t="str" cm="1">
        <f t="array" aca="1" ref="Q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7" s="62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spans="1:28" ht="30" hidden="1" customHeight="1" x14ac:dyDescent="0.25">
      <c r="A78" s="59">
        <v>72</v>
      </c>
      <c r="B78" s="56"/>
      <c r="C78" s="65" t="s">
        <v>17</v>
      </c>
      <c r="D78" s="56" t="s">
        <v>94</v>
      </c>
      <c r="E78" s="43" t="s">
        <v>691</v>
      </c>
      <c r="F78" s="65" t="s">
        <v>182</v>
      </c>
      <c r="G78" s="43" t="s">
        <v>186</v>
      </c>
      <c r="H78" s="60" t="s">
        <v>183</v>
      </c>
      <c r="I78" s="63" t="s">
        <v>184</v>
      </c>
      <c r="J78" s="63" t="s">
        <v>23</v>
      </c>
      <c r="K78" s="63"/>
      <c r="L78" s="63"/>
      <c r="M78" s="43" t="s">
        <v>24</v>
      </c>
      <c r="N78" s="43" t="s">
        <v>45</v>
      </c>
      <c r="O78" s="57">
        <v>45867</v>
      </c>
      <c r="P78" s="57" t="str" cm="1">
        <f t="array" aca="1" ref="P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8" s="57" t="str" cm="1">
        <f t="array" aca="1" ref="Q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8" s="62"/>
      <c r="S78" s="21"/>
      <c r="T78" s="21"/>
      <c r="U78" s="21"/>
      <c r="V78" s="21"/>
      <c r="W78" s="21"/>
      <c r="X78" s="21"/>
      <c r="Y78" s="21"/>
      <c r="Z78" s="21"/>
      <c r="AA78" s="21"/>
      <c r="AB78" s="21"/>
    </row>
    <row r="79" spans="1:28" ht="30" hidden="1" customHeight="1" x14ac:dyDescent="0.25">
      <c r="A79" s="59">
        <v>73</v>
      </c>
      <c r="B79" s="56"/>
      <c r="C79" s="65" t="s">
        <v>17</v>
      </c>
      <c r="D79" s="56" t="s">
        <v>40</v>
      </c>
      <c r="E79" s="43" t="s">
        <v>692</v>
      </c>
      <c r="F79" s="65" t="s">
        <v>182</v>
      </c>
      <c r="G79" s="56" t="s">
        <v>187</v>
      </c>
      <c r="H79" s="60" t="s">
        <v>183</v>
      </c>
      <c r="I79" s="63" t="s">
        <v>184</v>
      </c>
      <c r="J79" s="63" t="s">
        <v>23</v>
      </c>
      <c r="K79" s="63"/>
      <c r="L79" s="63"/>
      <c r="M79" s="43" t="s">
        <v>24</v>
      </c>
      <c r="N79" s="43" t="s">
        <v>45</v>
      </c>
      <c r="O79" s="57">
        <v>45852</v>
      </c>
      <c r="P79" s="57" t="str" cm="1">
        <f t="array" aca="1" ref="P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79" s="57" t="str" cm="1">
        <f t="array" aca="1" ref="Q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79" s="62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spans="1:28" ht="30" hidden="1" customHeight="1" x14ac:dyDescent="0.25">
      <c r="A80" s="59">
        <v>74</v>
      </c>
      <c r="B80" s="56"/>
      <c r="C80" s="65" t="s">
        <v>17</v>
      </c>
      <c r="D80" s="56" t="s">
        <v>181</v>
      </c>
      <c r="E80" s="43" t="s">
        <v>690</v>
      </c>
      <c r="F80" s="65" t="s">
        <v>182</v>
      </c>
      <c r="G80" s="56">
        <v>14960110</v>
      </c>
      <c r="H80" s="60" t="s">
        <v>183</v>
      </c>
      <c r="I80" s="63" t="s">
        <v>184</v>
      </c>
      <c r="J80" s="63" t="s">
        <v>23</v>
      </c>
      <c r="K80" s="63"/>
      <c r="L80" s="63"/>
      <c r="M80" s="43" t="s">
        <v>24</v>
      </c>
      <c r="N80" s="43" t="s">
        <v>45</v>
      </c>
      <c r="O80" s="57">
        <v>46102</v>
      </c>
      <c r="P80" s="57" t="str" cm="1">
        <f t="array" aca="1" ref="P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0" s="57" t="str" cm="1">
        <f t="array" aca="1" ref="Q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0" s="62" t="s">
        <v>185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</row>
    <row r="81" spans="1:28" ht="30" hidden="1" customHeight="1" x14ac:dyDescent="0.25">
      <c r="A81" s="59">
        <v>75</v>
      </c>
      <c r="B81" s="56"/>
      <c r="C81" s="65" t="s">
        <v>17</v>
      </c>
      <c r="D81" s="56" t="s">
        <v>94</v>
      </c>
      <c r="E81" s="43" t="s">
        <v>693</v>
      </c>
      <c r="F81" s="65" t="s">
        <v>182</v>
      </c>
      <c r="G81" s="43">
        <v>62500107</v>
      </c>
      <c r="H81" s="60" t="s">
        <v>188</v>
      </c>
      <c r="I81" s="63" t="s">
        <v>97</v>
      </c>
      <c r="J81" s="63" t="s">
        <v>23</v>
      </c>
      <c r="K81" s="63"/>
      <c r="L81" s="63"/>
      <c r="M81" s="43" t="s">
        <v>24</v>
      </c>
      <c r="N81" s="43" t="s">
        <v>45</v>
      </c>
      <c r="O81" s="57">
        <v>45938</v>
      </c>
      <c r="P81" s="57" t="str" cm="1">
        <f t="array" aca="1" ref="P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1" s="57" t="str" cm="1">
        <f t="array" aca="1" ref="Q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1" s="61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spans="1:28" ht="30" hidden="1" customHeight="1" x14ac:dyDescent="0.25">
      <c r="A82" s="59">
        <v>76</v>
      </c>
      <c r="B82" s="56"/>
      <c r="C82" s="65" t="s">
        <v>17</v>
      </c>
      <c r="D82" s="56" t="s">
        <v>189</v>
      </c>
      <c r="E82" s="43" t="s">
        <v>694</v>
      </c>
      <c r="F82" s="65" t="s">
        <v>182</v>
      </c>
      <c r="G82" s="43" t="s">
        <v>190</v>
      </c>
      <c r="H82" s="60" t="s">
        <v>638</v>
      </c>
      <c r="I82" s="63" t="s">
        <v>97</v>
      </c>
      <c r="J82" s="63" t="s">
        <v>23</v>
      </c>
      <c r="K82" s="63"/>
      <c r="L82" s="63"/>
      <c r="M82" s="43" t="s">
        <v>24</v>
      </c>
      <c r="N82" s="43" t="s">
        <v>45</v>
      </c>
      <c r="O82" s="57">
        <v>46009</v>
      </c>
      <c r="P82" s="57" t="str" cm="1">
        <f t="array" aca="1" ref="P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2" s="57" t="str" cm="1">
        <f t="array" aca="1" ref="Q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2" s="61"/>
      <c r="S82" s="21"/>
      <c r="T82" s="21"/>
      <c r="U82" s="21"/>
      <c r="V82" s="21"/>
      <c r="W82" s="21"/>
      <c r="X82" s="21"/>
      <c r="Y82" s="21"/>
      <c r="Z82" s="21"/>
      <c r="AA82" s="21"/>
      <c r="AB82" s="21"/>
    </row>
    <row r="83" spans="1:28" ht="30" hidden="1" customHeight="1" x14ac:dyDescent="0.25">
      <c r="A83" s="59">
        <v>77</v>
      </c>
      <c r="B83" s="56"/>
      <c r="C83" s="65" t="s">
        <v>17</v>
      </c>
      <c r="D83" s="43" t="s">
        <v>53</v>
      </c>
      <c r="E83" s="43" t="s">
        <v>695</v>
      </c>
      <c r="F83" s="65" t="s">
        <v>182</v>
      </c>
      <c r="G83" s="43">
        <v>66700001</v>
      </c>
      <c r="H83" s="60" t="s">
        <v>191</v>
      </c>
      <c r="I83" s="63" t="s">
        <v>97</v>
      </c>
      <c r="J83" s="63" t="s">
        <v>23</v>
      </c>
      <c r="K83" s="63"/>
      <c r="L83" s="63"/>
      <c r="M83" s="43" t="s">
        <v>24</v>
      </c>
      <c r="N83" s="43" t="s">
        <v>45</v>
      </c>
      <c r="O83" s="57">
        <v>46009</v>
      </c>
      <c r="P83" s="57" t="str" cm="1">
        <f t="array" aca="1" ref="P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3" s="57" t="str" cm="1">
        <f t="array" aca="1" ref="Q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3" s="61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spans="1:28" ht="30" hidden="1" customHeight="1" x14ac:dyDescent="0.25">
      <c r="A84" s="59">
        <v>78</v>
      </c>
      <c r="B84" s="56"/>
      <c r="C84" s="65" t="s">
        <v>17</v>
      </c>
      <c r="D84" s="56" t="s">
        <v>53</v>
      </c>
      <c r="E84" s="43" t="s">
        <v>697</v>
      </c>
      <c r="F84" s="65" t="s">
        <v>182</v>
      </c>
      <c r="G84" s="63" t="s">
        <v>194</v>
      </c>
      <c r="H84" s="60" t="s">
        <v>193</v>
      </c>
      <c r="I84" s="63" t="s">
        <v>97</v>
      </c>
      <c r="J84" s="63" t="s">
        <v>23</v>
      </c>
      <c r="K84" s="63"/>
      <c r="L84" s="63"/>
      <c r="M84" s="43" t="s">
        <v>24</v>
      </c>
      <c r="N84" s="43" t="s">
        <v>45</v>
      </c>
      <c r="O84" s="57">
        <v>46222</v>
      </c>
      <c r="P84" s="57" t="str" cm="1">
        <f t="array" aca="1" ref="P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4" s="57" t="str" cm="1">
        <f t="array" aca="1" ref="Q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4" s="61"/>
      <c r="S84" s="21"/>
      <c r="T84" s="21"/>
      <c r="U84" s="21"/>
      <c r="V84" s="21"/>
      <c r="W84" s="21"/>
      <c r="X84" s="21"/>
      <c r="Y84" s="21"/>
      <c r="Z84" s="21"/>
      <c r="AA84" s="21"/>
      <c r="AB84" s="21"/>
    </row>
    <row r="85" spans="1:28" ht="30" hidden="1" customHeight="1" x14ac:dyDescent="0.25">
      <c r="A85" s="59">
        <v>79</v>
      </c>
      <c r="B85" s="56"/>
      <c r="C85" s="65" t="s">
        <v>17</v>
      </c>
      <c r="D85" s="56" t="s">
        <v>53</v>
      </c>
      <c r="E85" s="43" t="s">
        <v>698</v>
      </c>
      <c r="F85" s="65" t="s">
        <v>182</v>
      </c>
      <c r="G85" s="43">
        <v>1308640099</v>
      </c>
      <c r="H85" s="60" t="s">
        <v>195</v>
      </c>
      <c r="I85" s="63" t="s">
        <v>97</v>
      </c>
      <c r="J85" s="63" t="s">
        <v>23</v>
      </c>
      <c r="K85" s="63"/>
      <c r="L85" s="63"/>
      <c r="M85" s="43" t="s">
        <v>24</v>
      </c>
      <c r="N85" s="43" t="s">
        <v>45</v>
      </c>
      <c r="O85" s="57">
        <v>45910</v>
      </c>
      <c r="P85" s="57" t="str" cm="1">
        <f t="array" aca="1" ref="P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5" s="57" t="str" cm="1">
        <f t="array" aca="1" ref="Q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5" s="61"/>
      <c r="S85" s="21"/>
      <c r="T85" s="21"/>
      <c r="U85" s="21"/>
      <c r="V85" s="21"/>
      <c r="W85" s="21"/>
      <c r="X85" s="21"/>
      <c r="Y85" s="21"/>
      <c r="Z85" s="21"/>
      <c r="AA85" s="21"/>
      <c r="AB85" s="21"/>
    </row>
    <row r="86" spans="1:28" ht="30" hidden="1" customHeight="1" x14ac:dyDescent="0.25">
      <c r="A86" s="59">
        <v>80</v>
      </c>
      <c r="B86" s="56"/>
      <c r="C86" s="65" t="s">
        <v>17</v>
      </c>
      <c r="D86" s="56" t="s">
        <v>181</v>
      </c>
      <c r="E86" s="43" t="s">
        <v>701</v>
      </c>
      <c r="F86" s="65" t="s">
        <v>182</v>
      </c>
      <c r="G86" s="43" t="s">
        <v>645</v>
      </c>
      <c r="H86" s="60" t="s">
        <v>638</v>
      </c>
      <c r="I86" s="63" t="s">
        <v>97</v>
      </c>
      <c r="J86" s="63" t="s">
        <v>23</v>
      </c>
      <c r="K86" s="63"/>
      <c r="L86" s="63"/>
      <c r="M86" s="43" t="s">
        <v>24</v>
      </c>
      <c r="N86" s="43" t="s">
        <v>45</v>
      </c>
      <c r="O86" s="57">
        <v>46009</v>
      </c>
      <c r="P86" s="57" t="str" cm="1">
        <f t="array" aca="1" ref="P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6" s="57" t="str" cm="1">
        <f t="array" aca="1" ref="Q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6" s="61"/>
      <c r="S86" s="21"/>
      <c r="T86" s="21"/>
      <c r="U86" s="21"/>
      <c r="V86" s="21"/>
      <c r="W86" s="21"/>
      <c r="X86" s="21"/>
      <c r="Y86" s="21"/>
      <c r="Z86" s="21"/>
      <c r="AA86" s="21"/>
      <c r="AB86" s="21"/>
    </row>
    <row r="87" spans="1:28" ht="30" hidden="1" customHeight="1" x14ac:dyDescent="0.25">
      <c r="A87" s="59">
        <v>81</v>
      </c>
      <c r="B87" s="56"/>
      <c r="C87" s="65" t="s">
        <v>17</v>
      </c>
      <c r="D87" s="56" t="s">
        <v>53</v>
      </c>
      <c r="E87" s="43" t="s">
        <v>1045</v>
      </c>
      <c r="F87" s="65" t="s">
        <v>182</v>
      </c>
      <c r="G87" s="63" t="s">
        <v>196</v>
      </c>
      <c r="H87" s="60" t="s">
        <v>638</v>
      </c>
      <c r="I87" s="63" t="s">
        <v>97</v>
      </c>
      <c r="J87" s="63" t="s">
        <v>23</v>
      </c>
      <c r="K87" s="63"/>
      <c r="L87" s="63"/>
      <c r="M87" s="43" t="s">
        <v>24</v>
      </c>
      <c r="N87" s="43" t="s">
        <v>45</v>
      </c>
      <c r="O87" s="57">
        <v>46132</v>
      </c>
      <c r="P87" s="57" t="str" cm="1">
        <f t="array" aca="1" ref="P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7" s="57" t="str" cm="1">
        <f t="array" aca="1" ref="Q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7" s="61"/>
      <c r="S87" s="21"/>
      <c r="T87" s="21"/>
      <c r="U87" s="21"/>
      <c r="V87" s="21"/>
      <c r="W87" s="21"/>
      <c r="X87" s="21"/>
      <c r="Y87" s="21"/>
      <c r="Z87" s="21"/>
      <c r="AA87" s="21"/>
      <c r="AB87" s="21"/>
    </row>
    <row r="88" spans="1:28" ht="30" hidden="1" customHeight="1" x14ac:dyDescent="0.25">
      <c r="A88" s="59">
        <v>82</v>
      </c>
      <c r="B88" s="137"/>
      <c r="C88" s="65" t="s">
        <v>17</v>
      </c>
      <c r="D88" s="56" t="s">
        <v>53</v>
      </c>
      <c r="E88" s="43" t="s">
        <v>696</v>
      </c>
      <c r="F88" s="65" t="s">
        <v>182</v>
      </c>
      <c r="G88" s="43" t="s">
        <v>192</v>
      </c>
      <c r="H88" s="60" t="s">
        <v>193</v>
      </c>
      <c r="I88" s="63" t="s">
        <v>97</v>
      </c>
      <c r="J88" s="63" t="s">
        <v>23</v>
      </c>
      <c r="K88" s="63"/>
      <c r="L88" s="63"/>
      <c r="M88" s="43" t="s">
        <v>24</v>
      </c>
      <c r="N88" s="43" t="s">
        <v>45</v>
      </c>
      <c r="O88" s="57">
        <v>45852</v>
      </c>
      <c r="P88" s="57" t="str" cm="1">
        <f t="array" aca="1" ref="P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8" s="57" t="str" cm="1">
        <f t="array" aca="1" ref="Q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8" s="61" t="s">
        <v>1308</v>
      </c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spans="1:28" ht="30" hidden="1" customHeight="1" x14ac:dyDescent="0.25">
      <c r="A89" s="59">
        <v>83</v>
      </c>
      <c r="B89" s="137"/>
      <c r="C89" s="65" t="s">
        <v>17</v>
      </c>
      <c r="D89" s="43" t="s">
        <v>53</v>
      </c>
      <c r="E89" s="43" t="s">
        <v>699</v>
      </c>
      <c r="F89" s="65" t="s">
        <v>182</v>
      </c>
      <c r="G89" s="63" t="s">
        <v>196</v>
      </c>
      <c r="H89" s="60" t="s">
        <v>197</v>
      </c>
      <c r="I89" s="63" t="s">
        <v>97</v>
      </c>
      <c r="J89" s="63" t="s">
        <v>23</v>
      </c>
      <c r="K89" s="63"/>
      <c r="L89" s="63"/>
      <c r="M89" s="43" t="s">
        <v>24</v>
      </c>
      <c r="N89" s="43" t="s">
        <v>45</v>
      </c>
      <c r="O89" s="57">
        <v>45621</v>
      </c>
      <c r="P89" s="57" t="str" cm="1">
        <f t="array" aca="1" ref="P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89" s="57" t="str" cm="1">
        <f t="array" aca="1" ref="Q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89" s="61" t="s">
        <v>198</v>
      </c>
      <c r="S89" s="21"/>
      <c r="T89" s="21"/>
      <c r="U89" s="21"/>
      <c r="V89" s="21"/>
      <c r="W89" s="21"/>
      <c r="X89" s="21"/>
      <c r="Y89" s="21"/>
      <c r="Z89" s="21"/>
      <c r="AA89" s="21"/>
      <c r="AB89" s="21"/>
    </row>
    <row r="90" spans="1:28" ht="44.25" hidden="1" customHeight="1" x14ac:dyDescent="0.25">
      <c r="A90" s="59">
        <v>84</v>
      </c>
      <c r="B90" s="137"/>
      <c r="C90" s="65" t="s">
        <v>17</v>
      </c>
      <c r="D90" s="56" t="s">
        <v>33</v>
      </c>
      <c r="E90" s="43" t="s">
        <v>700</v>
      </c>
      <c r="F90" s="65" t="s">
        <v>182</v>
      </c>
      <c r="G90" s="43" t="s">
        <v>199</v>
      </c>
      <c r="H90" s="60" t="s">
        <v>200</v>
      </c>
      <c r="I90" s="63" t="s">
        <v>97</v>
      </c>
      <c r="J90" s="63" t="s">
        <v>23</v>
      </c>
      <c r="K90" s="63"/>
      <c r="L90" s="63"/>
      <c r="M90" s="43" t="s">
        <v>24</v>
      </c>
      <c r="N90" s="43" t="s">
        <v>45</v>
      </c>
      <c r="O90" s="57">
        <v>45206</v>
      </c>
      <c r="P90" s="57" t="str" cm="1">
        <f t="array" aca="1" ref="P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0" s="57" t="str" cm="1">
        <f t="array" aca="1" ref="Q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0" s="61" t="s">
        <v>89</v>
      </c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spans="1:28" ht="30" hidden="1" customHeight="1" x14ac:dyDescent="0.25">
      <c r="A91" s="59">
        <v>85</v>
      </c>
      <c r="B91" s="56"/>
      <c r="C91" s="65" t="s">
        <v>17</v>
      </c>
      <c r="D91" s="56" t="s">
        <v>18</v>
      </c>
      <c r="E91" s="43" t="s">
        <v>590</v>
      </c>
      <c r="F91" s="65" t="s">
        <v>205</v>
      </c>
      <c r="G91" s="43"/>
      <c r="H91" s="60" t="s">
        <v>631</v>
      </c>
      <c r="I91" s="63" t="s">
        <v>204</v>
      </c>
      <c r="J91" s="63" t="s">
        <v>23</v>
      </c>
      <c r="K91" s="63"/>
      <c r="L91" s="63"/>
      <c r="M91" s="43" t="s">
        <v>24</v>
      </c>
      <c r="N91" s="43" t="s">
        <v>141</v>
      </c>
      <c r="O91" s="57">
        <v>45996</v>
      </c>
      <c r="P91" s="57" t="str" cm="1">
        <f t="array" aca="1" ref="P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1" s="57" t="str" cm="1">
        <f t="array" aca="1" ref="Q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1" s="61"/>
      <c r="S91" s="21"/>
      <c r="T91" s="21"/>
      <c r="U91" s="21"/>
      <c r="V91" s="21"/>
      <c r="W91" s="21"/>
      <c r="X91" s="21"/>
      <c r="Y91" s="21"/>
      <c r="Z91" s="21"/>
      <c r="AA91" s="21"/>
      <c r="AB91" s="21"/>
    </row>
    <row r="92" spans="1:28" ht="30" hidden="1" customHeight="1" x14ac:dyDescent="0.25">
      <c r="A92" s="59">
        <v>86</v>
      </c>
      <c r="B92" s="56"/>
      <c r="C92" s="65" t="s">
        <v>17</v>
      </c>
      <c r="D92" s="56" t="s">
        <v>18</v>
      </c>
      <c r="E92" s="43" t="s">
        <v>591</v>
      </c>
      <c r="F92" s="65" t="s">
        <v>205</v>
      </c>
      <c r="G92" s="43"/>
      <c r="H92" s="60" t="s">
        <v>631</v>
      </c>
      <c r="I92" s="63" t="s">
        <v>204</v>
      </c>
      <c r="J92" s="63" t="s">
        <v>23</v>
      </c>
      <c r="K92" s="63"/>
      <c r="L92" s="63"/>
      <c r="M92" s="43" t="s">
        <v>24</v>
      </c>
      <c r="N92" s="43" t="s">
        <v>141</v>
      </c>
      <c r="O92" s="57">
        <v>45996</v>
      </c>
      <c r="P92" s="57" t="str" cm="1">
        <f t="array" aca="1" ref="P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2" s="57" t="str" cm="1">
        <f t="array" aca="1" ref="Q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2" s="61"/>
      <c r="S92" s="21"/>
      <c r="T92" s="21"/>
      <c r="U92" s="21"/>
      <c r="V92" s="21"/>
      <c r="W92" s="21"/>
      <c r="X92" s="21"/>
      <c r="Y92" s="21"/>
      <c r="Z92" s="21"/>
      <c r="AA92" s="21"/>
      <c r="AB92" s="21"/>
    </row>
    <row r="93" spans="1:28" ht="30" hidden="1" customHeight="1" x14ac:dyDescent="0.25">
      <c r="A93" s="59">
        <v>87</v>
      </c>
      <c r="B93" s="56"/>
      <c r="C93" s="65" t="s">
        <v>17</v>
      </c>
      <c r="D93" s="56" t="s">
        <v>18</v>
      </c>
      <c r="E93" s="43" t="s">
        <v>592</v>
      </c>
      <c r="F93" s="65" t="s">
        <v>202</v>
      </c>
      <c r="G93" s="43" t="s">
        <v>206</v>
      </c>
      <c r="H93" s="60" t="s">
        <v>207</v>
      </c>
      <c r="I93" s="63" t="s">
        <v>208</v>
      </c>
      <c r="J93" s="63" t="s">
        <v>23</v>
      </c>
      <c r="K93" s="63"/>
      <c r="L93" s="63"/>
      <c r="M93" s="43" t="s">
        <v>24</v>
      </c>
      <c r="N93" s="43" t="s">
        <v>141</v>
      </c>
      <c r="O93" s="57">
        <v>46134</v>
      </c>
      <c r="P93" s="57" t="str" cm="1">
        <f t="array" aca="1" ref="P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3" s="57" t="str" cm="1">
        <f t="array" aca="1" ref="Q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3" s="61"/>
      <c r="S93" s="21"/>
      <c r="T93" s="21"/>
      <c r="U93" s="21"/>
      <c r="V93" s="21"/>
      <c r="W93" s="21"/>
      <c r="X93" s="21"/>
      <c r="Y93" s="21"/>
      <c r="Z93" s="21"/>
      <c r="AA93" s="21"/>
      <c r="AB93" s="21"/>
    </row>
    <row r="94" spans="1:28" ht="30" hidden="1" customHeight="1" x14ac:dyDescent="0.25">
      <c r="A94" s="59">
        <v>88</v>
      </c>
      <c r="B94" s="56"/>
      <c r="C94" s="65" t="s">
        <v>17</v>
      </c>
      <c r="D94" s="56" t="s">
        <v>18</v>
      </c>
      <c r="E94" s="43" t="s">
        <v>593</v>
      </c>
      <c r="F94" s="65" t="s">
        <v>202</v>
      </c>
      <c r="G94" s="43" t="s">
        <v>206</v>
      </c>
      <c r="H94" s="60" t="s">
        <v>207</v>
      </c>
      <c r="I94" s="63" t="s">
        <v>208</v>
      </c>
      <c r="J94" s="63" t="s">
        <v>23</v>
      </c>
      <c r="K94" s="63"/>
      <c r="L94" s="63"/>
      <c r="M94" s="43" t="s">
        <v>24</v>
      </c>
      <c r="N94" s="43" t="s">
        <v>141</v>
      </c>
      <c r="O94" s="57">
        <v>46134</v>
      </c>
      <c r="P94" s="57" t="str" cm="1">
        <f t="array" aca="1" ref="P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4" s="57" t="str" cm="1">
        <f t="array" aca="1" ref="Q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4" s="61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spans="1:28" ht="30" hidden="1" customHeight="1" x14ac:dyDescent="0.25">
      <c r="A95" s="59">
        <v>89</v>
      </c>
      <c r="B95" s="56"/>
      <c r="C95" s="65" t="s">
        <v>17</v>
      </c>
      <c r="D95" s="56" t="s">
        <v>18</v>
      </c>
      <c r="E95" s="43" t="s">
        <v>594</v>
      </c>
      <c r="F95" s="65" t="s">
        <v>202</v>
      </c>
      <c r="G95" s="43">
        <v>15071057</v>
      </c>
      <c r="H95" s="60" t="s">
        <v>632</v>
      </c>
      <c r="I95" s="63" t="s">
        <v>208</v>
      </c>
      <c r="J95" s="63" t="s">
        <v>23</v>
      </c>
      <c r="K95" s="63"/>
      <c r="L95" s="63"/>
      <c r="M95" s="43" t="s">
        <v>24</v>
      </c>
      <c r="N95" s="43" t="s">
        <v>141</v>
      </c>
      <c r="O95" s="57">
        <v>45996</v>
      </c>
      <c r="P95" s="57" t="str" cm="1">
        <f t="array" aca="1" ref="P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5" s="57" t="str" cm="1">
        <f t="array" aca="1" ref="Q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5" s="61"/>
      <c r="S95" s="21"/>
      <c r="T95" s="21"/>
      <c r="U95" s="21"/>
      <c r="V95" s="21"/>
      <c r="W95" s="21"/>
      <c r="X95" s="21"/>
      <c r="Y95" s="21"/>
      <c r="Z95" s="21"/>
      <c r="AA95" s="21"/>
      <c r="AB95" s="21"/>
    </row>
    <row r="96" spans="1:28" ht="30" hidden="1" customHeight="1" x14ac:dyDescent="0.25">
      <c r="A96" s="59">
        <v>90</v>
      </c>
      <c r="B96" s="56"/>
      <c r="C96" s="65" t="s">
        <v>17</v>
      </c>
      <c r="D96" s="56" t="s">
        <v>18</v>
      </c>
      <c r="E96" s="43" t="s">
        <v>595</v>
      </c>
      <c r="F96" s="65" t="s">
        <v>202</v>
      </c>
      <c r="G96" s="43" t="s">
        <v>206</v>
      </c>
      <c r="H96" s="60" t="s">
        <v>207</v>
      </c>
      <c r="I96" s="63" t="s">
        <v>208</v>
      </c>
      <c r="J96" s="63" t="s">
        <v>23</v>
      </c>
      <c r="K96" s="63"/>
      <c r="L96" s="63"/>
      <c r="M96" s="43" t="s">
        <v>24</v>
      </c>
      <c r="N96" s="43" t="s">
        <v>141</v>
      </c>
      <c r="O96" s="57">
        <v>46134</v>
      </c>
      <c r="P96" s="57" t="str" cm="1">
        <f t="array" aca="1" ref="P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6" s="57" t="str" cm="1">
        <f t="array" aca="1" ref="Q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6" s="61"/>
      <c r="S96" s="21"/>
      <c r="T96" s="21"/>
      <c r="U96" s="21"/>
      <c r="V96" s="21"/>
      <c r="W96" s="21"/>
      <c r="X96" s="21"/>
      <c r="Y96" s="21"/>
      <c r="Z96" s="21"/>
      <c r="AA96" s="21"/>
      <c r="AB96" s="21"/>
    </row>
    <row r="97" spans="1:28" ht="30" hidden="1" customHeight="1" x14ac:dyDescent="0.25">
      <c r="A97" s="59">
        <v>91</v>
      </c>
      <c r="B97" s="56"/>
      <c r="C97" s="65" t="s">
        <v>17</v>
      </c>
      <c r="D97" s="56" t="s">
        <v>18</v>
      </c>
      <c r="E97" s="43" t="s">
        <v>1157</v>
      </c>
      <c r="F97" s="65" t="s">
        <v>202</v>
      </c>
      <c r="G97" s="43" t="s">
        <v>206</v>
      </c>
      <c r="H97" s="60" t="s">
        <v>207</v>
      </c>
      <c r="I97" s="63" t="s">
        <v>208</v>
      </c>
      <c r="J97" s="63" t="s">
        <v>23</v>
      </c>
      <c r="K97" s="63"/>
      <c r="L97" s="63"/>
      <c r="M97" s="43" t="s">
        <v>24</v>
      </c>
      <c r="N97" s="43" t="s">
        <v>141</v>
      </c>
      <c r="O97" s="57">
        <v>46158</v>
      </c>
      <c r="P97" s="57" t="str" cm="1">
        <f t="array" aca="1" ref="P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7" s="57" t="str" cm="1">
        <f t="array" aca="1" ref="Q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7" s="61"/>
      <c r="S97" s="21"/>
      <c r="T97" s="21"/>
      <c r="U97" s="21"/>
      <c r="V97" s="21"/>
      <c r="W97" s="21"/>
      <c r="X97" s="21"/>
      <c r="Y97" s="21"/>
      <c r="Z97" s="21"/>
      <c r="AA97" s="21"/>
      <c r="AB97" s="21"/>
    </row>
    <row r="98" spans="1:28" ht="30" hidden="1" customHeight="1" x14ac:dyDescent="0.25">
      <c r="A98" s="59">
        <v>92</v>
      </c>
      <c r="B98" s="56"/>
      <c r="C98" s="65" t="s">
        <v>17</v>
      </c>
      <c r="D98" s="56" t="s">
        <v>18</v>
      </c>
      <c r="E98" s="43" t="s">
        <v>702</v>
      </c>
      <c r="F98" s="65" t="s">
        <v>209</v>
      </c>
      <c r="G98" s="43" t="s">
        <v>210</v>
      </c>
      <c r="H98" s="60" t="s">
        <v>211</v>
      </c>
      <c r="I98" s="63" t="s">
        <v>212</v>
      </c>
      <c r="J98" s="63" t="s">
        <v>23</v>
      </c>
      <c r="K98" s="63"/>
      <c r="L98" s="63"/>
      <c r="M98" s="43" t="s">
        <v>24</v>
      </c>
      <c r="N98" s="43" t="s">
        <v>141</v>
      </c>
      <c r="O98" s="57">
        <v>45939</v>
      </c>
      <c r="P98" s="57" t="str" cm="1">
        <f t="array" aca="1" ref="P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8" s="57" t="str" cm="1">
        <f t="array" aca="1" ref="Q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8" s="61"/>
      <c r="S98" s="21"/>
      <c r="T98" s="21"/>
      <c r="U98" s="21"/>
      <c r="V98" s="21"/>
      <c r="W98" s="21"/>
      <c r="X98" s="21"/>
      <c r="Y98" s="21"/>
      <c r="Z98" s="21"/>
      <c r="AA98" s="21"/>
      <c r="AB98" s="21"/>
    </row>
    <row r="99" spans="1:28" ht="30" hidden="1" customHeight="1" x14ac:dyDescent="0.25">
      <c r="A99" s="59">
        <v>93</v>
      </c>
      <c r="B99" s="56"/>
      <c r="C99" s="65" t="s">
        <v>17</v>
      </c>
      <c r="D99" s="56" t="s">
        <v>18</v>
      </c>
      <c r="E99" s="43" t="s">
        <v>703</v>
      </c>
      <c r="F99" s="65" t="s">
        <v>209</v>
      </c>
      <c r="G99" s="43" t="s">
        <v>213</v>
      </c>
      <c r="H99" s="60" t="s">
        <v>214</v>
      </c>
      <c r="I99" s="63" t="s">
        <v>215</v>
      </c>
      <c r="J99" s="63" t="s">
        <v>23</v>
      </c>
      <c r="K99" s="63"/>
      <c r="L99" s="63"/>
      <c r="M99" s="43" t="s">
        <v>24</v>
      </c>
      <c r="N99" s="43" t="s">
        <v>141</v>
      </c>
      <c r="O99" s="57">
        <v>45939</v>
      </c>
      <c r="P99" s="57" t="str" cm="1">
        <f t="array" aca="1" ref="P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99" s="57" t="str" cm="1">
        <f t="array" aca="1" ref="Q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99" s="61"/>
      <c r="S99" s="21"/>
      <c r="T99" s="21"/>
      <c r="U99" s="21"/>
      <c r="V99" s="21"/>
      <c r="W99" s="21"/>
      <c r="X99" s="21"/>
      <c r="Y99" s="21"/>
      <c r="Z99" s="21"/>
      <c r="AA99" s="21"/>
      <c r="AB99" s="21"/>
    </row>
    <row r="100" spans="1:28" ht="35.25" hidden="1" customHeight="1" x14ac:dyDescent="0.25">
      <c r="A100" s="59">
        <v>94</v>
      </c>
      <c r="B100" s="56"/>
      <c r="C100" s="65" t="s">
        <v>17</v>
      </c>
      <c r="D100" s="56" t="s">
        <v>18</v>
      </c>
      <c r="E100" s="43" t="s">
        <v>704</v>
      </c>
      <c r="F100" s="65" t="s">
        <v>209</v>
      </c>
      <c r="G100" s="43" t="s">
        <v>216</v>
      </c>
      <c r="H100" s="60" t="s">
        <v>214</v>
      </c>
      <c r="I100" s="63" t="s">
        <v>215</v>
      </c>
      <c r="J100" s="63" t="s">
        <v>23</v>
      </c>
      <c r="K100" s="63"/>
      <c r="L100" s="63"/>
      <c r="M100" s="43" t="s">
        <v>24</v>
      </c>
      <c r="N100" s="43" t="s">
        <v>141</v>
      </c>
      <c r="O100" s="57">
        <v>45939</v>
      </c>
      <c r="P100" s="57" t="str" cm="1">
        <f t="array" aca="1" ref="P1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0" s="57" t="str" cm="1">
        <f t="array" aca="1" ref="Q1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0" s="61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spans="1:28" ht="35.25" hidden="1" customHeight="1" x14ac:dyDescent="0.25">
      <c r="A101" s="59">
        <v>95</v>
      </c>
      <c r="B101" s="56"/>
      <c r="C101" s="65" t="s">
        <v>17</v>
      </c>
      <c r="D101" s="56" t="s">
        <v>18</v>
      </c>
      <c r="E101" s="43" t="s">
        <v>1037</v>
      </c>
      <c r="F101" s="65" t="s">
        <v>205</v>
      </c>
      <c r="G101" s="43">
        <v>5329</v>
      </c>
      <c r="H101" s="60" t="s">
        <v>203</v>
      </c>
      <c r="I101" s="63" t="s">
        <v>204</v>
      </c>
      <c r="J101" s="63" t="s">
        <v>23</v>
      </c>
      <c r="K101" s="63"/>
      <c r="L101" s="63"/>
      <c r="M101" s="43" t="s">
        <v>24</v>
      </c>
      <c r="N101" s="43" t="s">
        <v>141</v>
      </c>
      <c r="O101" s="57"/>
      <c r="P101" s="57"/>
      <c r="Q101" s="57" t="str" cm="1">
        <f t="array" aca="1" ref="Q1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1" s="61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spans="1:28" ht="51" hidden="1" customHeight="1" x14ac:dyDescent="0.25">
      <c r="A102" s="59">
        <v>96</v>
      </c>
      <c r="B102" s="56"/>
      <c r="C102" s="65" t="s">
        <v>17</v>
      </c>
      <c r="D102" s="56" t="s">
        <v>18</v>
      </c>
      <c r="E102" s="43" t="s">
        <v>1355</v>
      </c>
      <c r="F102" s="68" t="s">
        <v>202</v>
      </c>
      <c r="G102" s="43" t="s">
        <v>206</v>
      </c>
      <c r="H102" s="60" t="s">
        <v>207</v>
      </c>
      <c r="I102" s="63" t="s">
        <v>1356</v>
      </c>
      <c r="J102" s="63" t="s">
        <v>23</v>
      </c>
      <c r="K102" s="63"/>
      <c r="L102" s="63"/>
      <c r="M102" s="43" t="s">
        <v>24</v>
      </c>
      <c r="N102" s="43" t="s">
        <v>141</v>
      </c>
      <c r="O102" s="57">
        <v>46196</v>
      </c>
      <c r="P102" s="57" t="str" cm="1">
        <f t="array" aca="1" ref="P1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2" s="57" t="str" cm="1">
        <f t="array" aca="1" ref="Q1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2" s="61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spans="1:28" ht="51" hidden="1" customHeight="1" x14ac:dyDescent="0.25">
      <c r="A103" s="59">
        <v>97</v>
      </c>
      <c r="B103" s="56"/>
      <c r="C103" s="65" t="s">
        <v>17</v>
      </c>
      <c r="D103" s="56" t="s">
        <v>18</v>
      </c>
      <c r="E103" s="43" t="s">
        <v>1360</v>
      </c>
      <c r="F103" s="68" t="s">
        <v>202</v>
      </c>
      <c r="G103" s="43" t="s">
        <v>206</v>
      </c>
      <c r="H103" s="60" t="s">
        <v>207</v>
      </c>
      <c r="I103" s="63" t="s">
        <v>1356</v>
      </c>
      <c r="J103" s="63" t="s">
        <v>23</v>
      </c>
      <c r="K103" s="63"/>
      <c r="L103" s="63"/>
      <c r="M103" s="43" t="s">
        <v>24</v>
      </c>
      <c r="N103" s="43" t="s">
        <v>141</v>
      </c>
      <c r="O103" s="57">
        <v>46197</v>
      </c>
      <c r="P103" s="57" t="str" cm="1">
        <f t="array" aca="1" ref="P1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3" s="57" t="str" cm="1">
        <f t="array" aca="1" ref="Q1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3" s="61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spans="1:28" ht="51" hidden="1" customHeight="1" x14ac:dyDescent="0.25">
      <c r="A104" s="59">
        <v>98</v>
      </c>
      <c r="B104" s="138"/>
      <c r="C104" s="65" t="s">
        <v>17</v>
      </c>
      <c r="D104" s="56" t="s">
        <v>33</v>
      </c>
      <c r="E104" s="43" t="s">
        <v>201</v>
      </c>
      <c r="F104" s="65" t="s">
        <v>202</v>
      </c>
      <c r="G104" s="43">
        <v>5309</v>
      </c>
      <c r="H104" s="60" t="s">
        <v>203</v>
      </c>
      <c r="I104" s="63" t="s">
        <v>204</v>
      </c>
      <c r="J104" s="63" t="s">
        <v>23</v>
      </c>
      <c r="K104" s="63"/>
      <c r="L104" s="63"/>
      <c r="M104" s="43" t="s">
        <v>24</v>
      </c>
      <c r="N104" s="43" t="s">
        <v>141</v>
      </c>
      <c r="O104" s="57">
        <v>45395</v>
      </c>
      <c r="P104" s="57" t="str" cm="1">
        <f t="array" aca="1" ref="P1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4" s="57" t="str" cm="1">
        <f t="array" aca="1" ref="Q1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4" s="61" t="s">
        <v>89</v>
      </c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spans="1:28" ht="45" hidden="1" customHeight="1" x14ac:dyDescent="0.25">
      <c r="A105" s="59">
        <v>99</v>
      </c>
      <c r="B105" s="138"/>
      <c r="C105" s="65" t="s">
        <v>17</v>
      </c>
      <c r="D105" s="56" t="s">
        <v>18</v>
      </c>
      <c r="E105" s="43"/>
      <c r="F105" s="65" t="s">
        <v>217</v>
      </c>
      <c r="G105" s="43" t="s">
        <v>218</v>
      </c>
      <c r="H105" s="60" t="s">
        <v>219</v>
      </c>
      <c r="I105" s="63" t="s">
        <v>220</v>
      </c>
      <c r="J105" s="63" t="s">
        <v>23</v>
      </c>
      <c r="K105" s="63"/>
      <c r="L105" s="63"/>
      <c r="M105" s="43" t="s">
        <v>24</v>
      </c>
      <c r="N105" s="43" t="s">
        <v>804</v>
      </c>
      <c r="O105" s="57">
        <v>45740</v>
      </c>
      <c r="P105" s="57" t="str" cm="1">
        <f t="array" aca="1" ref="P1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5" s="57" t="str" cm="1">
        <f t="array" aca="1" ref="Q1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5" s="61" t="s">
        <v>805</v>
      </c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spans="1:28" ht="48.75" hidden="1" customHeight="1" x14ac:dyDescent="0.25">
      <c r="A106" s="59">
        <v>100</v>
      </c>
      <c r="B106" s="138"/>
      <c r="C106" s="65" t="s">
        <v>17</v>
      </c>
      <c r="D106" s="56" t="s">
        <v>18</v>
      </c>
      <c r="E106" s="43"/>
      <c r="F106" s="65" t="s">
        <v>217</v>
      </c>
      <c r="G106" s="43" t="s">
        <v>221</v>
      </c>
      <c r="H106" s="60" t="s">
        <v>222</v>
      </c>
      <c r="I106" s="63" t="s">
        <v>220</v>
      </c>
      <c r="J106" s="63" t="s">
        <v>23</v>
      </c>
      <c r="K106" s="63"/>
      <c r="L106" s="63"/>
      <c r="M106" s="43" t="s">
        <v>24</v>
      </c>
      <c r="N106" s="43" t="s">
        <v>804</v>
      </c>
      <c r="O106" s="57">
        <v>45740</v>
      </c>
      <c r="P106" s="57" t="str" cm="1">
        <f t="array" aca="1" ref="P1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6" s="57" t="str" cm="1">
        <f t="array" aca="1" ref="Q1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6" s="61" t="s">
        <v>805</v>
      </c>
      <c r="S106" s="21"/>
      <c r="T106" s="21"/>
      <c r="U106" s="21"/>
      <c r="V106" s="21"/>
      <c r="W106" s="21"/>
      <c r="X106" s="21"/>
      <c r="Y106" s="21"/>
      <c r="Z106" s="21"/>
      <c r="AA106" s="21"/>
      <c r="AB106" s="21"/>
    </row>
    <row r="107" spans="1:28" ht="30.75" hidden="1" customHeight="1" x14ac:dyDescent="0.25">
      <c r="A107" s="59">
        <v>101</v>
      </c>
      <c r="B107" s="138"/>
      <c r="C107" s="65" t="s">
        <v>17</v>
      </c>
      <c r="D107" s="56" t="s">
        <v>18</v>
      </c>
      <c r="E107" s="43"/>
      <c r="F107" s="65" t="s">
        <v>217</v>
      </c>
      <c r="G107" s="43" t="s">
        <v>223</v>
      </c>
      <c r="H107" s="60" t="s">
        <v>224</v>
      </c>
      <c r="I107" s="63" t="s">
        <v>220</v>
      </c>
      <c r="J107" s="63" t="s">
        <v>23</v>
      </c>
      <c r="K107" s="63"/>
      <c r="L107" s="63"/>
      <c r="M107" s="43" t="s">
        <v>24</v>
      </c>
      <c r="N107" s="43" t="s">
        <v>804</v>
      </c>
      <c r="O107" s="57">
        <v>45740</v>
      </c>
      <c r="P107" s="57" t="str" cm="1">
        <f t="array" aca="1" ref="P1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7" s="57" t="str" cm="1">
        <f t="array" aca="1" ref="Q1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7" s="61" t="s">
        <v>805</v>
      </c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spans="1:28" ht="33" hidden="1" customHeight="1" x14ac:dyDescent="0.25">
      <c r="A108" s="59">
        <v>102</v>
      </c>
      <c r="B108" s="56"/>
      <c r="C108" s="65" t="s">
        <v>17</v>
      </c>
      <c r="D108" s="56" t="s">
        <v>53</v>
      </c>
      <c r="E108" s="43"/>
      <c r="F108" s="65" t="s">
        <v>225</v>
      </c>
      <c r="G108" s="43" t="s">
        <v>226</v>
      </c>
      <c r="H108" s="60" t="s">
        <v>227</v>
      </c>
      <c r="I108" s="63" t="s">
        <v>228</v>
      </c>
      <c r="J108" s="63" t="s">
        <v>23</v>
      </c>
      <c r="K108" s="63"/>
      <c r="L108" s="63"/>
      <c r="M108" s="43" t="s">
        <v>83</v>
      </c>
      <c r="N108" s="43"/>
      <c r="O108" s="57">
        <v>45643</v>
      </c>
      <c r="P108" s="57" t="str" cm="1">
        <f t="array" aca="1" ref="P1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8" s="57" t="str" cm="1">
        <f t="array" aca="1" ref="Q1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8" s="6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</row>
    <row r="109" spans="1:28" ht="30" hidden="1" customHeight="1" x14ac:dyDescent="0.25">
      <c r="A109" s="59">
        <v>103</v>
      </c>
      <c r="B109" s="56"/>
      <c r="C109" s="65" t="s">
        <v>17</v>
      </c>
      <c r="D109" s="56" t="s">
        <v>76</v>
      </c>
      <c r="E109" s="43"/>
      <c r="F109" s="65" t="s">
        <v>229</v>
      </c>
      <c r="G109" s="43">
        <v>1100778043</v>
      </c>
      <c r="H109" s="60" t="s">
        <v>230</v>
      </c>
      <c r="I109" s="63" t="s">
        <v>231</v>
      </c>
      <c r="J109" s="63" t="s">
        <v>23</v>
      </c>
      <c r="K109" s="63"/>
      <c r="L109" s="63"/>
      <c r="M109" s="43" t="s">
        <v>83</v>
      </c>
      <c r="N109" s="67"/>
      <c r="O109" s="57">
        <v>45725</v>
      </c>
      <c r="P109" s="57" t="str" cm="1">
        <f t="array" aca="1" ref="P1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09" s="57" t="str" cm="1">
        <f t="array" aca="1" ref="Q1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09" s="61" t="s">
        <v>232</v>
      </c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spans="1:28" ht="30" hidden="1" customHeight="1" x14ac:dyDescent="0.25">
      <c r="A110" s="59">
        <v>104</v>
      </c>
      <c r="B110" s="56"/>
      <c r="C110" s="65" t="s">
        <v>17</v>
      </c>
      <c r="D110" s="56" t="s">
        <v>18</v>
      </c>
      <c r="E110" s="43">
        <v>6791</v>
      </c>
      <c r="F110" s="65" t="s">
        <v>233</v>
      </c>
      <c r="G110" s="43" t="s">
        <v>206</v>
      </c>
      <c r="H110" s="60" t="s">
        <v>234</v>
      </c>
      <c r="I110" s="63" t="s">
        <v>235</v>
      </c>
      <c r="J110" s="63" t="s">
        <v>23</v>
      </c>
      <c r="K110" s="63"/>
      <c r="L110" s="63"/>
      <c r="M110" s="43" t="s">
        <v>24</v>
      </c>
      <c r="N110" s="64" t="s">
        <v>236</v>
      </c>
      <c r="O110" s="57">
        <v>46000</v>
      </c>
      <c r="P110" s="57" t="str" cm="1">
        <f t="array" aca="1" ref="P1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0" s="57" t="str" cm="1">
        <f t="array" aca="1" ref="Q1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0" s="6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20.25" hidden="1" customHeight="1" x14ac:dyDescent="0.25">
      <c r="A111" s="59">
        <v>105</v>
      </c>
      <c r="B111" s="56"/>
      <c r="C111" s="65" t="s">
        <v>17</v>
      </c>
      <c r="D111" s="56" t="s">
        <v>18</v>
      </c>
      <c r="E111" s="43"/>
      <c r="F111" s="63" t="s">
        <v>233</v>
      </c>
      <c r="G111" s="43" t="s">
        <v>1170</v>
      </c>
      <c r="H111" s="60" t="s">
        <v>1171</v>
      </c>
      <c r="I111" s="63" t="s">
        <v>1172</v>
      </c>
      <c r="J111" s="63" t="s">
        <v>23</v>
      </c>
      <c r="K111" s="63"/>
      <c r="L111" s="63"/>
      <c r="M111" s="43" t="s">
        <v>24</v>
      </c>
      <c r="N111" s="64" t="s">
        <v>236</v>
      </c>
      <c r="O111" s="57">
        <v>45930</v>
      </c>
      <c r="P111" s="57" t="str" cm="1">
        <f t="array" aca="1" ref="P1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1" s="57" t="str" cm="1">
        <f t="array" aca="1" ref="Q1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1" s="6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9.5" hidden="1" customHeight="1" x14ac:dyDescent="0.25">
      <c r="A112" s="59">
        <v>106</v>
      </c>
      <c r="B112" s="56"/>
      <c r="C112" s="65" t="s">
        <v>17</v>
      </c>
      <c r="D112" s="56" t="s">
        <v>18</v>
      </c>
      <c r="E112" s="43"/>
      <c r="F112" s="63" t="s">
        <v>233</v>
      </c>
      <c r="G112" s="43" t="s">
        <v>1169</v>
      </c>
      <c r="H112" s="60" t="s">
        <v>1171</v>
      </c>
      <c r="I112" s="63" t="s">
        <v>1172</v>
      </c>
      <c r="J112" s="63" t="s">
        <v>23</v>
      </c>
      <c r="K112" s="63"/>
      <c r="L112" s="63"/>
      <c r="M112" s="43" t="s">
        <v>24</v>
      </c>
      <c r="N112" s="64" t="s">
        <v>236</v>
      </c>
      <c r="O112" s="57">
        <v>45933</v>
      </c>
      <c r="P112" s="57" t="str" cm="1">
        <f t="array" aca="1" ref="P1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2" s="57" t="str" cm="1">
        <f t="array" aca="1" ref="Q1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2" s="6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24" hidden="1" customHeight="1" x14ac:dyDescent="0.25">
      <c r="A113" s="59">
        <v>107</v>
      </c>
      <c r="B113" s="56"/>
      <c r="C113" s="65" t="s">
        <v>17</v>
      </c>
      <c r="D113" s="56" t="s">
        <v>18</v>
      </c>
      <c r="E113" s="43"/>
      <c r="F113" s="63" t="s">
        <v>233</v>
      </c>
      <c r="G113" s="43" t="s">
        <v>1168</v>
      </c>
      <c r="H113" s="60" t="s">
        <v>1171</v>
      </c>
      <c r="I113" s="63" t="s">
        <v>1173</v>
      </c>
      <c r="J113" s="63" t="s">
        <v>23</v>
      </c>
      <c r="K113" s="63"/>
      <c r="L113" s="63"/>
      <c r="M113" s="43" t="s">
        <v>24</v>
      </c>
      <c r="N113" s="64" t="s">
        <v>236</v>
      </c>
      <c r="O113" s="57">
        <v>45997</v>
      </c>
      <c r="P113" s="57" t="str" cm="1">
        <f t="array" aca="1" ref="P1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3" s="57" t="str" cm="1">
        <f t="array" aca="1" ref="Q1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3" s="6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9.5" hidden="1" customHeight="1" x14ac:dyDescent="0.25">
      <c r="A114" s="59">
        <v>108</v>
      </c>
      <c r="B114" s="56"/>
      <c r="C114" s="65" t="s">
        <v>17</v>
      </c>
      <c r="D114" s="56" t="s">
        <v>18</v>
      </c>
      <c r="E114" s="43"/>
      <c r="F114" s="63" t="s">
        <v>233</v>
      </c>
      <c r="G114" s="43" t="s">
        <v>1167</v>
      </c>
      <c r="H114" s="60" t="s">
        <v>1171</v>
      </c>
      <c r="I114" s="63" t="s">
        <v>1173</v>
      </c>
      <c r="J114" s="63" t="s">
        <v>23</v>
      </c>
      <c r="K114" s="63"/>
      <c r="L114" s="63"/>
      <c r="M114" s="43" t="s">
        <v>24</v>
      </c>
      <c r="N114" s="64" t="s">
        <v>236</v>
      </c>
      <c r="O114" s="57">
        <v>45997</v>
      </c>
      <c r="P114" s="57" t="str" cm="1">
        <f t="array" aca="1" ref="P1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4" s="57" t="str" cm="1">
        <f t="array" aca="1" ref="Q1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4" s="6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9.5" hidden="1" customHeight="1" x14ac:dyDescent="0.25">
      <c r="A115" s="59">
        <v>109</v>
      </c>
      <c r="B115" s="56"/>
      <c r="C115" s="65" t="s">
        <v>17</v>
      </c>
      <c r="D115" s="56" t="s">
        <v>18</v>
      </c>
      <c r="E115" s="43"/>
      <c r="F115" s="63" t="s">
        <v>237</v>
      </c>
      <c r="G115" s="43" t="s">
        <v>1165</v>
      </c>
      <c r="H115" s="60" t="s">
        <v>1171</v>
      </c>
      <c r="I115" s="63" t="s">
        <v>1174</v>
      </c>
      <c r="J115" s="63" t="s">
        <v>23</v>
      </c>
      <c r="K115" s="63"/>
      <c r="L115" s="63"/>
      <c r="M115" s="43" t="s">
        <v>24</v>
      </c>
      <c r="N115" s="64" t="s">
        <v>236</v>
      </c>
      <c r="O115" s="57">
        <v>45959</v>
      </c>
      <c r="P115" s="57" t="str" cm="1">
        <f t="array" aca="1" ref="P1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5" s="57" t="str" cm="1">
        <f t="array" aca="1" ref="Q1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5" s="6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9.5" hidden="1" customHeight="1" x14ac:dyDescent="0.25">
      <c r="A116" s="59">
        <v>110</v>
      </c>
      <c r="B116" s="56"/>
      <c r="C116" s="65" t="s">
        <v>17</v>
      </c>
      <c r="D116" s="56" t="s">
        <v>18</v>
      </c>
      <c r="E116" s="43"/>
      <c r="F116" s="63" t="s">
        <v>237</v>
      </c>
      <c r="G116" s="43">
        <v>353992301</v>
      </c>
      <c r="H116" s="60" t="s">
        <v>238</v>
      </c>
      <c r="I116" s="63" t="s">
        <v>239</v>
      </c>
      <c r="J116" s="63" t="s">
        <v>23</v>
      </c>
      <c r="K116" s="63"/>
      <c r="L116" s="63"/>
      <c r="M116" s="43" t="s">
        <v>24</v>
      </c>
      <c r="N116" s="64"/>
      <c r="O116" s="57">
        <v>45619</v>
      </c>
      <c r="P116" s="57" t="str" cm="1">
        <f t="array" aca="1" ref="P1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6" s="57" t="str" cm="1">
        <f t="array" aca="1" ref="Q1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6" s="61" t="s">
        <v>1068</v>
      </c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9.5" hidden="1" customHeight="1" x14ac:dyDescent="0.25">
      <c r="A117" s="59">
        <v>111</v>
      </c>
      <c r="B117" s="56"/>
      <c r="C117" s="65" t="s">
        <v>17</v>
      </c>
      <c r="D117" s="56" t="s">
        <v>18</v>
      </c>
      <c r="E117" s="43"/>
      <c r="F117" s="63" t="s">
        <v>1162</v>
      </c>
      <c r="G117" s="43" t="s">
        <v>1166</v>
      </c>
      <c r="H117" s="60" t="s">
        <v>1171</v>
      </c>
      <c r="I117" s="63" t="s">
        <v>1174</v>
      </c>
      <c r="J117" s="63" t="s">
        <v>23</v>
      </c>
      <c r="K117" s="63"/>
      <c r="L117" s="63"/>
      <c r="M117" s="43" t="s">
        <v>24</v>
      </c>
      <c r="N117" s="64" t="s">
        <v>236</v>
      </c>
      <c r="O117" s="57">
        <v>45958</v>
      </c>
      <c r="P117" s="57" t="str" cm="1">
        <f t="array" aca="1" ref="P1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7" s="57" t="str" cm="1">
        <f t="array" aca="1" ref="Q1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7" s="6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9.5" hidden="1" customHeight="1" x14ac:dyDescent="0.25">
      <c r="A118" s="59">
        <v>112</v>
      </c>
      <c r="B118" s="56"/>
      <c r="C118" s="65" t="s">
        <v>17</v>
      </c>
      <c r="D118" s="56" t="s">
        <v>18</v>
      </c>
      <c r="E118" s="43">
        <v>6789</v>
      </c>
      <c r="F118" s="65" t="s">
        <v>240</v>
      </c>
      <c r="G118" s="43" t="s">
        <v>206</v>
      </c>
      <c r="H118" s="60" t="s">
        <v>706</v>
      </c>
      <c r="I118" s="63" t="s">
        <v>241</v>
      </c>
      <c r="J118" s="63" t="s">
        <v>23</v>
      </c>
      <c r="K118" s="63"/>
      <c r="L118" s="63"/>
      <c r="M118" s="43" t="s">
        <v>24</v>
      </c>
      <c r="N118" s="64" t="s">
        <v>236</v>
      </c>
      <c r="O118" s="57">
        <v>46000</v>
      </c>
      <c r="P118" s="57" t="str" cm="1">
        <f t="array" aca="1" ref="P1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8" s="57" t="str" cm="1">
        <f t="array" aca="1" ref="Q1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8" s="6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9.5" hidden="1" customHeight="1" x14ac:dyDescent="0.25">
      <c r="A119" s="59">
        <v>113</v>
      </c>
      <c r="B119" s="56"/>
      <c r="C119" s="65" t="s">
        <v>17</v>
      </c>
      <c r="D119" s="56" t="s">
        <v>18</v>
      </c>
      <c r="E119" s="43">
        <v>6790</v>
      </c>
      <c r="F119" s="65" t="s">
        <v>242</v>
      </c>
      <c r="G119" s="43" t="s">
        <v>705</v>
      </c>
      <c r="H119" s="60" t="s">
        <v>244</v>
      </c>
      <c r="I119" s="63" t="s">
        <v>245</v>
      </c>
      <c r="J119" s="63" t="s">
        <v>23</v>
      </c>
      <c r="K119" s="63"/>
      <c r="L119" s="63"/>
      <c r="M119" s="43" t="s">
        <v>24</v>
      </c>
      <c r="N119" s="64" t="s">
        <v>236</v>
      </c>
      <c r="O119" s="57">
        <v>46000</v>
      </c>
      <c r="P119" s="57" t="str" cm="1">
        <f t="array" aca="1" ref="P1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19" s="57" t="str" cm="1">
        <f t="array" aca="1" ref="Q1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19" s="6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9.5" hidden="1" customHeight="1" x14ac:dyDescent="0.25">
      <c r="A120" s="59">
        <v>114</v>
      </c>
      <c r="B120" s="56"/>
      <c r="C120" s="65" t="s">
        <v>17</v>
      </c>
      <c r="D120" s="56" t="s">
        <v>18</v>
      </c>
      <c r="E120" s="43"/>
      <c r="F120" s="63" t="s">
        <v>242</v>
      </c>
      <c r="G120" s="43" t="s">
        <v>1163</v>
      </c>
      <c r="H120" s="60" t="s">
        <v>1171</v>
      </c>
      <c r="I120" s="63" t="s">
        <v>1175</v>
      </c>
      <c r="J120" s="63" t="s">
        <v>23</v>
      </c>
      <c r="K120" s="63"/>
      <c r="L120" s="63"/>
      <c r="M120" s="43" t="s">
        <v>24</v>
      </c>
      <c r="N120" s="64" t="s">
        <v>236</v>
      </c>
      <c r="O120" s="57">
        <v>45961</v>
      </c>
      <c r="P120" s="57" t="str" cm="1">
        <f t="array" aca="1" ref="P1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0" s="57" t="str" cm="1">
        <f t="array" aca="1" ref="Q1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0" s="6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9.5" hidden="1" customHeight="1" x14ac:dyDescent="0.25">
      <c r="A121" s="59">
        <v>115</v>
      </c>
      <c r="B121" s="56"/>
      <c r="C121" s="65" t="s">
        <v>17</v>
      </c>
      <c r="D121" s="56" t="s">
        <v>18</v>
      </c>
      <c r="E121" s="43"/>
      <c r="F121" s="63" t="s">
        <v>242</v>
      </c>
      <c r="G121" s="43" t="s">
        <v>1164</v>
      </c>
      <c r="H121" s="60" t="s">
        <v>1171</v>
      </c>
      <c r="I121" s="63" t="s">
        <v>1175</v>
      </c>
      <c r="J121" s="63" t="s">
        <v>23</v>
      </c>
      <c r="K121" s="63"/>
      <c r="L121" s="63"/>
      <c r="M121" s="43" t="s">
        <v>24</v>
      </c>
      <c r="N121" s="64" t="s">
        <v>236</v>
      </c>
      <c r="O121" s="57">
        <v>45961</v>
      </c>
      <c r="P121" s="57" t="str" cm="1">
        <f t="array" aca="1" ref="P1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1" s="57" t="str" cm="1">
        <f t="array" aca="1" ref="Q1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1" s="6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9.5" hidden="1" customHeight="1" x14ac:dyDescent="0.25">
      <c r="A122" s="59">
        <v>116</v>
      </c>
      <c r="B122" s="138"/>
      <c r="C122" s="65" t="s">
        <v>17</v>
      </c>
      <c r="D122" s="56" t="s">
        <v>18</v>
      </c>
      <c r="E122" s="43"/>
      <c r="F122" s="63" t="s">
        <v>242</v>
      </c>
      <c r="G122" s="43"/>
      <c r="H122" s="60" t="s">
        <v>714</v>
      </c>
      <c r="I122" s="63" t="s">
        <v>243</v>
      </c>
      <c r="J122" s="63" t="s">
        <v>23</v>
      </c>
      <c r="K122" s="63"/>
      <c r="L122" s="63"/>
      <c r="M122" s="43" t="s">
        <v>24</v>
      </c>
      <c r="N122" s="64" t="s">
        <v>236</v>
      </c>
      <c r="O122" s="57">
        <v>45619</v>
      </c>
      <c r="P122" s="57" t="str" cm="1">
        <f t="array" aca="1" ref="P1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2" s="57" t="str" cm="1">
        <f t="array" aca="1" ref="Q1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2" s="61" t="s">
        <v>715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9.5" hidden="1" customHeight="1" x14ac:dyDescent="0.25">
      <c r="A123" s="59">
        <v>117</v>
      </c>
      <c r="B123" s="56"/>
      <c r="C123" s="65" t="s">
        <v>246</v>
      </c>
      <c r="D123" s="56" t="s">
        <v>76</v>
      </c>
      <c r="E123" s="43"/>
      <c r="F123" s="65" t="s">
        <v>247</v>
      </c>
      <c r="G123" s="63" t="s">
        <v>248</v>
      </c>
      <c r="H123" s="60" t="s">
        <v>249</v>
      </c>
      <c r="I123" s="63" t="s">
        <v>250</v>
      </c>
      <c r="J123" s="63" t="s">
        <v>459</v>
      </c>
      <c r="K123" s="63"/>
      <c r="L123" s="63"/>
      <c r="M123" s="43" t="s">
        <v>24</v>
      </c>
      <c r="N123" s="43" t="s">
        <v>251</v>
      </c>
      <c r="O123" s="57">
        <v>45870</v>
      </c>
      <c r="P123" s="57" t="str" cm="1">
        <f t="array" aca="1" ref="P1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3" s="57" t="str" cm="1">
        <f t="array" aca="1" ref="Q1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3" s="61" t="s">
        <v>252</v>
      </c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24" hidden="1" x14ac:dyDescent="0.25">
      <c r="A124" s="59">
        <v>118</v>
      </c>
      <c r="B124" s="56"/>
      <c r="C124" s="65" t="s">
        <v>246</v>
      </c>
      <c r="D124" s="56" t="s">
        <v>76</v>
      </c>
      <c r="E124" s="43"/>
      <c r="F124" s="65" t="s">
        <v>247</v>
      </c>
      <c r="G124" s="63" t="s">
        <v>253</v>
      </c>
      <c r="H124" s="60" t="s">
        <v>249</v>
      </c>
      <c r="I124" s="63" t="s">
        <v>250</v>
      </c>
      <c r="J124" s="63" t="s">
        <v>459</v>
      </c>
      <c r="K124" s="63"/>
      <c r="L124" s="63"/>
      <c r="M124" s="43" t="s">
        <v>24</v>
      </c>
      <c r="N124" s="43" t="s">
        <v>251</v>
      </c>
      <c r="O124" s="57">
        <v>45870</v>
      </c>
      <c r="P124" s="57" t="str" cm="1">
        <f t="array" aca="1" ref="P1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4" s="57" t="str" cm="1">
        <f t="array" aca="1" ref="Q1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4" s="61" t="s">
        <v>252</v>
      </c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24" hidden="1" x14ac:dyDescent="0.25">
      <c r="A125" s="59">
        <v>119</v>
      </c>
      <c r="B125" s="56"/>
      <c r="C125" s="65" t="s">
        <v>246</v>
      </c>
      <c r="D125" s="56" t="s">
        <v>76</v>
      </c>
      <c r="E125" s="43"/>
      <c r="F125" s="65" t="s">
        <v>247</v>
      </c>
      <c r="G125" s="63" t="s">
        <v>254</v>
      </c>
      <c r="H125" s="60" t="s">
        <v>249</v>
      </c>
      <c r="I125" s="63" t="s">
        <v>250</v>
      </c>
      <c r="J125" s="63" t="s">
        <v>459</v>
      </c>
      <c r="K125" s="63"/>
      <c r="L125" s="63"/>
      <c r="M125" s="43" t="s">
        <v>24</v>
      </c>
      <c r="N125" s="43" t="s">
        <v>251</v>
      </c>
      <c r="O125" s="57">
        <v>45870</v>
      </c>
      <c r="P125" s="57" t="str" cm="1">
        <f t="array" aca="1" ref="P1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5" s="57" t="str" cm="1">
        <f t="array" aca="1" ref="Q1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5" s="61" t="s">
        <v>252</v>
      </c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24" hidden="1" x14ac:dyDescent="0.25">
      <c r="A126" s="59">
        <v>120</v>
      </c>
      <c r="B126" s="56"/>
      <c r="C126" s="65" t="s">
        <v>246</v>
      </c>
      <c r="D126" s="56" t="s">
        <v>76</v>
      </c>
      <c r="E126" s="43"/>
      <c r="F126" s="65" t="s">
        <v>247</v>
      </c>
      <c r="G126" s="63" t="s">
        <v>255</v>
      </c>
      <c r="H126" s="60" t="s">
        <v>249</v>
      </c>
      <c r="I126" s="63" t="s">
        <v>250</v>
      </c>
      <c r="J126" s="63" t="s">
        <v>459</v>
      </c>
      <c r="K126" s="63"/>
      <c r="L126" s="63"/>
      <c r="M126" s="43" t="s">
        <v>24</v>
      </c>
      <c r="N126" s="43" t="s">
        <v>251</v>
      </c>
      <c r="O126" s="57">
        <v>45870</v>
      </c>
      <c r="P126" s="57" t="str" cm="1">
        <f t="array" aca="1" ref="P1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6" s="57" t="str" cm="1">
        <f t="array" aca="1" ref="Q1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6" s="61" t="s">
        <v>252</v>
      </c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24" hidden="1" x14ac:dyDescent="0.25">
      <c r="A127" s="59">
        <v>121</v>
      </c>
      <c r="B127" s="56"/>
      <c r="C127" s="65" t="s">
        <v>246</v>
      </c>
      <c r="D127" s="56" t="s">
        <v>76</v>
      </c>
      <c r="E127" s="43"/>
      <c r="F127" s="65" t="s">
        <v>247</v>
      </c>
      <c r="G127" s="63" t="s">
        <v>256</v>
      </c>
      <c r="H127" s="60" t="s">
        <v>249</v>
      </c>
      <c r="I127" s="63" t="s">
        <v>250</v>
      </c>
      <c r="J127" s="63" t="s">
        <v>459</v>
      </c>
      <c r="K127" s="63"/>
      <c r="L127" s="63"/>
      <c r="M127" s="43" t="s">
        <v>24</v>
      </c>
      <c r="N127" s="43" t="s">
        <v>251</v>
      </c>
      <c r="O127" s="57">
        <v>45870</v>
      </c>
      <c r="P127" s="57" t="str" cm="1">
        <f t="array" aca="1" ref="P1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7" s="57" t="str" cm="1">
        <f t="array" aca="1" ref="Q1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7" s="61" t="s">
        <v>252</v>
      </c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24" hidden="1" x14ac:dyDescent="0.25">
      <c r="A128" s="59">
        <v>122</v>
      </c>
      <c r="B128" s="56"/>
      <c r="C128" s="65" t="s">
        <v>246</v>
      </c>
      <c r="D128" s="56" t="s">
        <v>76</v>
      </c>
      <c r="E128" s="43"/>
      <c r="F128" s="65" t="s">
        <v>247</v>
      </c>
      <c r="G128" s="63" t="s">
        <v>257</v>
      </c>
      <c r="H128" s="60" t="s">
        <v>249</v>
      </c>
      <c r="I128" s="63" t="s">
        <v>250</v>
      </c>
      <c r="J128" s="63" t="s">
        <v>459</v>
      </c>
      <c r="K128" s="63"/>
      <c r="L128" s="63"/>
      <c r="M128" s="43" t="s">
        <v>24</v>
      </c>
      <c r="N128" s="43" t="s">
        <v>251</v>
      </c>
      <c r="O128" s="57">
        <v>45870</v>
      </c>
      <c r="P128" s="57" t="str" cm="1">
        <f t="array" aca="1" ref="P1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8" s="57" t="str" cm="1">
        <f t="array" aca="1" ref="Q1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8" s="61" t="s">
        <v>252</v>
      </c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24" hidden="1" x14ac:dyDescent="0.25">
      <c r="A129" s="59">
        <v>123</v>
      </c>
      <c r="B129" s="56"/>
      <c r="C129" s="65" t="s">
        <v>246</v>
      </c>
      <c r="D129" s="56" t="s">
        <v>76</v>
      </c>
      <c r="E129" s="43"/>
      <c r="F129" s="65" t="s">
        <v>247</v>
      </c>
      <c r="G129" s="63" t="s">
        <v>258</v>
      </c>
      <c r="H129" s="60" t="s">
        <v>249</v>
      </c>
      <c r="I129" s="63" t="s">
        <v>250</v>
      </c>
      <c r="J129" s="63" t="s">
        <v>459</v>
      </c>
      <c r="K129" s="63"/>
      <c r="L129" s="63"/>
      <c r="M129" s="43" t="s">
        <v>24</v>
      </c>
      <c r="N129" s="43" t="s">
        <v>251</v>
      </c>
      <c r="O129" s="57">
        <v>45870</v>
      </c>
      <c r="P129" s="57" t="str" cm="1">
        <f t="array" aca="1" ref="P1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29" s="57" t="str" cm="1">
        <f t="array" aca="1" ref="Q1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29" s="61" t="s">
        <v>252</v>
      </c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24" hidden="1" x14ac:dyDescent="0.25">
      <c r="A130" s="59">
        <v>124</v>
      </c>
      <c r="B130" s="56"/>
      <c r="C130" s="65" t="s">
        <v>246</v>
      </c>
      <c r="D130" s="56" t="s">
        <v>76</v>
      </c>
      <c r="E130" s="43"/>
      <c r="F130" s="65" t="s">
        <v>247</v>
      </c>
      <c r="G130" s="63" t="s">
        <v>259</v>
      </c>
      <c r="H130" s="60" t="s">
        <v>249</v>
      </c>
      <c r="I130" s="63" t="s">
        <v>250</v>
      </c>
      <c r="J130" s="63" t="s">
        <v>459</v>
      </c>
      <c r="K130" s="63"/>
      <c r="L130" s="63"/>
      <c r="M130" s="43" t="s">
        <v>24</v>
      </c>
      <c r="N130" s="43" t="s">
        <v>251</v>
      </c>
      <c r="O130" s="57">
        <v>45870</v>
      </c>
      <c r="P130" s="57" t="str" cm="1">
        <f t="array" aca="1" ref="P1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0" s="57" t="str" cm="1">
        <f t="array" aca="1" ref="Q1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0" s="61" t="s">
        <v>252</v>
      </c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24" hidden="1" x14ac:dyDescent="0.25">
      <c r="A131" s="59">
        <v>125</v>
      </c>
      <c r="B131" s="56"/>
      <c r="C131" s="65" t="s">
        <v>246</v>
      </c>
      <c r="D131" s="56" t="s">
        <v>76</v>
      </c>
      <c r="E131" s="43"/>
      <c r="F131" s="65" t="s">
        <v>247</v>
      </c>
      <c r="G131" s="63" t="s">
        <v>260</v>
      </c>
      <c r="H131" s="60" t="s">
        <v>249</v>
      </c>
      <c r="I131" s="63" t="s">
        <v>250</v>
      </c>
      <c r="J131" s="63" t="s">
        <v>459</v>
      </c>
      <c r="K131" s="63"/>
      <c r="L131" s="63"/>
      <c r="M131" s="43" t="s">
        <v>24</v>
      </c>
      <c r="N131" s="43" t="s">
        <v>251</v>
      </c>
      <c r="O131" s="57">
        <v>45870</v>
      </c>
      <c r="P131" s="57" t="str" cm="1">
        <f t="array" aca="1" ref="P1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1" s="57" t="str" cm="1">
        <f t="array" aca="1" ref="Q1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1" s="61" t="s">
        <v>252</v>
      </c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24" hidden="1" x14ac:dyDescent="0.25">
      <c r="A132" s="59">
        <v>126</v>
      </c>
      <c r="B132" s="56"/>
      <c r="C132" s="65" t="s">
        <v>246</v>
      </c>
      <c r="D132" s="56" t="s">
        <v>76</v>
      </c>
      <c r="E132" s="43"/>
      <c r="F132" s="65" t="s">
        <v>247</v>
      </c>
      <c r="G132" s="63" t="s">
        <v>261</v>
      </c>
      <c r="H132" s="60" t="s">
        <v>249</v>
      </c>
      <c r="I132" s="63" t="s">
        <v>250</v>
      </c>
      <c r="J132" s="63" t="s">
        <v>459</v>
      </c>
      <c r="K132" s="63"/>
      <c r="L132" s="63"/>
      <c r="M132" s="43" t="s">
        <v>24</v>
      </c>
      <c r="N132" s="43" t="s">
        <v>251</v>
      </c>
      <c r="O132" s="57">
        <v>45870</v>
      </c>
      <c r="P132" s="57" t="str" cm="1">
        <f t="array" aca="1" ref="P1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2" s="57" t="str" cm="1">
        <f t="array" aca="1" ref="Q1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2" s="61" t="s">
        <v>252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24" hidden="1" x14ac:dyDescent="0.25">
      <c r="A133" s="59">
        <v>127</v>
      </c>
      <c r="B133" s="56"/>
      <c r="C133" s="65" t="s">
        <v>246</v>
      </c>
      <c r="D133" s="56" t="s">
        <v>76</v>
      </c>
      <c r="E133" s="43"/>
      <c r="F133" s="65" t="s">
        <v>247</v>
      </c>
      <c r="G133" s="63" t="s">
        <v>262</v>
      </c>
      <c r="H133" s="60" t="s">
        <v>249</v>
      </c>
      <c r="I133" s="63" t="s">
        <v>250</v>
      </c>
      <c r="J133" s="63" t="s">
        <v>459</v>
      </c>
      <c r="K133" s="63"/>
      <c r="L133" s="63"/>
      <c r="M133" s="43" t="s">
        <v>24</v>
      </c>
      <c r="N133" s="43" t="s">
        <v>251</v>
      </c>
      <c r="O133" s="57">
        <v>45870</v>
      </c>
      <c r="P133" s="57" t="str" cm="1">
        <f t="array" aca="1" ref="P1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3" s="57" t="str" cm="1">
        <f t="array" aca="1" ref="Q1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3" s="61" t="s">
        <v>252</v>
      </c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24" hidden="1" x14ac:dyDescent="0.25">
      <c r="A134" s="59">
        <v>128</v>
      </c>
      <c r="B134" s="56"/>
      <c r="C134" s="65" t="s">
        <v>246</v>
      </c>
      <c r="D134" s="56" t="s">
        <v>76</v>
      </c>
      <c r="E134" s="43"/>
      <c r="F134" s="65" t="s">
        <v>247</v>
      </c>
      <c r="G134" s="63" t="s">
        <v>263</v>
      </c>
      <c r="H134" s="60" t="s">
        <v>249</v>
      </c>
      <c r="I134" s="63" t="s">
        <v>250</v>
      </c>
      <c r="J134" s="63" t="s">
        <v>459</v>
      </c>
      <c r="K134" s="63"/>
      <c r="L134" s="63"/>
      <c r="M134" s="43" t="s">
        <v>24</v>
      </c>
      <c r="N134" s="43" t="s">
        <v>251</v>
      </c>
      <c r="O134" s="57">
        <v>45870</v>
      </c>
      <c r="P134" s="57" t="str" cm="1">
        <f t="array" aca="1" ref="P1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4" s="57" t="str" cm="1">
        <f t="array" aca="1" ref="Q1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4" s="61" t="s">
        <v>252</v>
      </c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24" hidden="1" x14ac:dyDescent="0.25">
      <c r="A135" s="59">
        <v>129</v>
      </c>
      <c r="B135" s="56"/>
      <c r="C135" s="65" t="s">
        <v>246</v>
      </c>
      <c r="D135" s="56" t="s">
        <v>76</v>
      </c>
      <c r="E135" s="43"/>
      <c r="F135" s="65" t="s">
        <v>247</v>
      </c>
      <c r="G135" s="63" t="s">
        <v>264</v>
      </c>
      <c r="H135" s="60" t="s">
        <v>249</v>
      </c>
      <c r="I135" s="63" t="s">
        <v>250</v>
      </c>
      <c r="J135" s="63" t="s">
        <v>459</v>
      </c>
      <c r="K135" s="63"/>
      <c r="L135" s="63"/>
      <c r="M135" s="43" t="s">
        <v>24</v>
      </c>
      <c r="N135" s="43" t="s">
        <v>251</v>
      </c>
      <c r="O135" s="57">
        <v>45870</v>
      </c>
      <c r="P135" s="57" t="str" cm="1">
        <f t="array" aca="1" ref="P1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5" s="57" t="str" cm="1">
        <f t="array" aca="1" ref="Q1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5" s="61" t="s">
        <v>252</v>
      </c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24" hidden="1" x14ac:dyDescent="0.25">
      <c r="A136" s="59">
        <v>130</v>
      </c>
      <c r="B136" s="56"/>
      <c r="C136" s="65" t="s">
        <v>246</v>
      </c>
      <c r="D136" s="56" t="s">
        <v>76</v>
      </c>
      <c r="E136" s="43"/>
      <c r="F136" s="65" t="s">
        <v>247</v>
      </c>
      <c r="G136" s="63" t="s">
        <v>265</v>
      </c>
      <c r="H136" s="60" t="s">
        <v>249</v>
      </c>
      <c r="I136" s="63" t="s">
        <v>250</v>
      </c>
      <c r="J136" s="63" t="s">
        <v>459</v>
      </c>
      <c r="K136" s="63"/>
      <c r="L136" s="63"/>
      <c r="M136" s="43" t="s">
        <v>24</v>
      </c>
      <c r="N136" s="43" t="s">
        <v>251</v>
      </c>
      <c r="O136" s="57">
        <v>45870</v>
      </c>
      <c r="P136" s="57" t="str" cm="1">
        <f t="array" aca="1" ref="P1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6" s="57" t="str" cm="1">
        <f t="array" aca="1" ref="Q1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6" s="61" t="s">
        <v>252</v>
      </c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24" hidden="1" x14ac:dyDescent="0.25">
      <c r="A137" s="59">
        <v>131</v>
      </c>
      <c r="B137" s="56"/>
      <c r="C137" s="65" t="s">
        <v>246</v>
      </c>
      <c r="D137" s="56" t="s">
        <v>76</v>
      </c>
      <c r="E137" s="43"/>
      <c r="F137" s="65" t="s">
        <v>266</v>
      </c>
      <c r="G137" s="86" t="s">
        <v>267</v>
      </c>
      <c r="H137" s="60" t="s">
        <v>249</v>
      </c>
      <c r="I137" s="63" t="s">
        <v>250</v>
      </c>
      <c r="J137" s="63" t="s">
        <v>424</v>
      </c>
      <c r="K137" s="63"/>
      <c r="L137" s="63"/>
      <c r="M137" s="43" t="s">
        <v>24</v>
      </c>
      <c r="N137" s="43" t="s">
        <v>251</v>
      </c>
      <c r="O137" s="57">
        <v>45788</v>
      </c>
      <c r="P137" s="57" t="str" cm="1">
        <f t="array" aca="1" ref="P1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7" s="57" t="str" cm="1">
        <f t="array" aca="1" ref="Q1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7" s="62" t="s">
        <v>1054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24" hidden="1" x14ac:dyDescent="0.25">
      <c r="A138" s="59">
        <v>132</v>
      </c>
      <c r="B138" s="56"/>
      <c r="C138" s="65" t="s">
        <v>246</v>
      </c>
      <c r="D138" s="56" t="s">
        <v>76</v>
      </c>
      <c r="E138" s="43"/>
      <c r="F138" s="65" t="s">
        <v>266</v>
      </c>
      <c r="G138" s="83" t="s">
        <v>268</v>
      </c>
      <c r="H138" s="60" t="s">
        <v>249</v>
      </c>
      <c r="I138" s="63" t="s">
        <v>250</v>
      </c>
      <c r="J138" s="63" t="s">
        <v>424</v>
      </c>
      <c r="K138" s="63"/>
      <c r="L138" s="63"/>
      <c r="M138" s="43" t="s">
        <v>24</v>
      </c>
      <c r="N138" s="43" t="s">
        <v>251</v>
      </c>
      <c r="O138" s="57">
        <v>45788</v>
      </c>
      <c r="P138" s="57" t="str" cm="1">
        <f t="array" aca="1" ref="P1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8" s="57" t="str" cm="1">
        <f t="array" aca="1" ref="Q1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8" s="62" t="s">
        <v>1055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24" hidden="1" x14ac:dyDescent="0.25">
      <c r="A139" s="59">
        <v>133</v>
      </c>
      <c r="B139" s="56"/>
      <c r="C139" s="65" t="s">
        <v>246</v>
      </c>
      <c r="D139" s="56" t="s">
        <v>76</v>
      </c>
      <c r="E139" s="43"/>
      <c r="F139" s="65" t="s">
        <v>266</v>
      </c>
      <c r="G139" s="86" t="s">
        <v>269</v>
      </c>
      <c r="H139" s="60" t="s">
        <v>249</v>
      </c>
      <c r="I139" s="63" t="s">
        <v>250</v>
      </c>
      <c r="J139" s="63" t="s">
        <v>424</v>
      </c>
      <c r="K139" s="63"/>
      <c r="L139" s="63"/>
      <c r="M139" s="43" t="s">
        <v>24</v>
      </c>
      <c r="N139" s="43" t="s">
        <v>251</v>
      </c>
      <c r="O139" s="57">
        <v>45788</v>
      </c>
      <c r="P139" s="57" t="str" cm="1">
        <f t="array" aca="1" ref="P1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39" s="57" t="str" cm="1">
        <f t="array" aca="1" ref="Q1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39" s="62" t="s">
        <v>1056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24" hidden="1" x14ac:dyDescent="0.25">
      <c r="A140" s="59">
        <v>134</v>
      </c>
      <c r="B140" s="56"/>
      <c r="C140" s="65" t="s">
        <v>246</v>
      </c>
      <c r="D140" s="56" t="s">
        <v>76</v>
      </c>
      <c r="E140" s="43"/>
      <c r="F140" s="65" t="s">
        <v>266</v>
      </c>
      <c r="G140" s="63" t="s">
        <v>270</v>
      </c>
      <c r="H140" s="60" t="s">
        <v>249</v>
      </c>
      <c r="I140" s="63" t="s">
        <v>250</v>
      </c>
      <c r="J140" s="63" t="s">
        <v>424</v>
      </c>
      <c r="K140" s="63"/>
      <c r="L140" s="63"/>
      <c r="M140" s="43" t="s">
        <v>24</v>
      </c>
      <c r="N140" s="43" t="s">
        <v>251</v>
      </c>
      <c r="O140" s="57">
        <v>45788</v>
      </c>
      <c r="P140" s="57" t="str" cm="1">
        <f t="array" aca="1" ref="P1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0" s="57" t="str" cm="1">
        <f t="array" aca="1" ref="Q1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0" s="62" t="s">
        <v>1057</v>
      </c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24" hidden="1" x14ac:dyDescent="0.25">
      <c r="A141" s="59">
        <v>135</v>
      </c>
      <c r="B141" s="56"/>
      <c r="C141" s="65" t="s">
        <v>246</v>
      </c>
      <c r="D141" s="56" t="s">
        <v>76</v>
      </c>
      <c r="E141" s="43"/>
      <c r="F141" s="65" t="s">
        <v>266</v>
      </c>
      <c r="G141" s="86" t="s">
        <v>271</v>
      </c>
      <c r="H141" s="60" t="s">
        <v>249</v>
      </c>
      <c r="I141" s="63" t="s">
        <v>250</v>
      </c>
      <c r="J141" s="63" t="s">
        <v>424</v>
      </c>
      <c r="K141" s="63"/>
      <c r="L141" s="63"/>
      <c r="M141" s="43" t="s">
        <v>24</v>
      </c>
      <c r="N141" s="43" t="s">
        <v>251</v>
      </c>
      <c r="O141" s="57">
        <v>45788</v>
      </c>
      <c r="P141" s="57" t="str" cm="1">
        <f t="array" aca="1" ref="P1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1" s="57" t="str" cm="1">
        <f t="array" aca="1" ref="Q1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1" s="62" t="s">
        <v>1058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24" hidden="1" x14ac:dyDescent="0.25">
      <c r="A142" s="59">
        <v>136</v>
      </c>
      <c r="B142" s="56"/>
      <c r="C142" s="65" t="s">
        <v>246</v>
      </c>
      <c r="D142" s="56" t="s">
        <v>76</v>
      </c>
      <c r="E142" s="43"/>
      <c r="F142" s="65" t="s">
        <v>266</v>
      </c>
      <c r="G142" s="83" t="s">
        <v>272</v>
      </c>
      <c r="H142" s="60" t="s">
        <v>249</v>
      </c>
      <c r="I142" s="63" t="s">
        <v>250</v>
      </c>
      <c r="J142" s="63" t="s">
        <v>424</v>
      </c>
      <c r="K142" s="63"/>
      <c r="L142" s="63"/>
      <c r="M142" s="43" t="s">
        <v>24</v>
      </c>
      <c r="N142" s="43" t="s">
        <v>251</v>
      </c>
      <c r="O142" s="57">
        <v>45788</v>
      </c>
      <c r="P142" s="57" t="str" cm="1">
        <f t="array" aca="1" ref="P1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2" s="57" t="str" cm="1">
        <f t="array" aca="1" ref="Q1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2" s="62" t="s">
        <v>1059</v>
      </c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24" hidden="1" x14ac:dyDescent="0.25">
      <c r="A143" s="59">
        <v>137</v>
      </c>
      <c r="B143" s="56"/>
      <c r="C143" s="65" t="s">
        <v>246</v>
      </c>
      <c r="D143" s="56" t="s">
        <v>76</v>
      </c>
      <c r="E143" s="43"/>
      <c r="F143" s="65" t="s">
        <v>266</v>
      </c>
      <c r="G143" s="86" t="s">
        <v>273</v>
      </c>
      <c r="H143" s="60" t="s">
        <v>249</v>
      </c>
      <c r="I143" s="63" t="s">
        <v>250</v>
      </c>
      <c r="J143" s="63" t="s">
        <v>424</v>
      </c>
      <c r="K143" s="63"/>
      <c r="L143" s="63"/>
      <c r="M143" s="43" t="s">
        <v>24</v>
      </c>
      <c r="N143" s="43" t="s">
        <v>251</v>
      </c>
      <c r="O143" s="57">
        <v>45788</v>
      </c>
      <c r="P143" s="57" t="str" cm="1">
        <f t="array" aca="1" ref="P1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3" s="57" t="str" cm="1">
        <f t="array" aca="1" ref="Q1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3" s="62" t="s">
        <v>1060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24" hidden="1" x14ac:dyDescent="0.25">
      <c r="A144" s="59">
        <v>138</v>
      </c>
      <c r="B144" s="56"/>
      <c r="C144" s="65" t="s">
        <v>246</v>
      </c>
      <c r="D144" s="56" t="s">
        <v>76</v>
      </c>
      <c r="E144" s="43"/>
      <c r="F144" s="65" t="s">
        <v>266</v>
      </c>
      <c r="G144" s="83" t="s">
        <v>274</v>
      </c>
      <c r="H144" s="60" t="s">
        <v>249</v>
      </c>
      <c r="I144" s="63" t="s">
        <v>250</v>
      </c>
      <c r="J144" s="63" t="s">
        <v>424</v>
      </c>
      <c r="K144" s="63"/>
      <c r="L144" s="63"/>
      <c r="M144" s="43" t="s">
        <v>24</v>
      </c>
      <c r="N144" s="43" t="s">
        <v>251</v>
      </c>
      <c r="O144" s="57">
        <v>45788</v>
      </c>
      <c r="P144" s="57" t="str" cm="1">
        <f t="array" aca="1" ref="P1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4" s="57" t="str" cm="1">
        <f t="array" aca="1" ref="Q1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4" s="62" t="s">
        <v>1061</v>
      </c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24" hidden="1" x14ac:dyDescent="0.25">
      <c r="A145" s="59">
        <v>139</v>
      </c>
      <c r="B145" s="56"/>
      <c r="C145" s="65" t="s">
        <v>246</v>
      </c>
      <c r="D145" s="56" t="s">
        <v>76</v>
      </c>
      <c r="E145" s="43"/>
      <c r="F145" s="65" t="s">
        <v>266</v>
      </c>
      <c r="G145" s="83" t="s">
        <v>275</v>
      </c>
      <c r="H145" s="60" t="s">
        <v>249</v>
      </c>
      <c r="I145" s="63" t="s">
        <v>250</v>
      </c>
      <c r="J145" s="63" t="s">
        <v>424</v>
      </c>
      <c r="K145" s="63"/>
      <c r="L145" s="63"/>
      <c r="M145" s="43" t="s">
        <v>24</v>
      </c>
      <c r="N145" s="43" t="s">
        <v>251</v>
      </c>
      <c r="O145" s="57">
        <v>45788</v>
      </c>
      <c r="P145" s="57" t="str" cm="1">
        <f t="array" aca="1" ref="P1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5" s="57" t="str" cm="1">
        <f t="array" aca="1" ref="Q1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5" s="62" t="s">
        <v>1062</v>
      </c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24" hidden="1" x14ac:dyDescent="0.25">
      <c r="A146" s="59">
        <v>140</v>
      </c>
      <c r="B146" s="56"/>
      <c r="C146" s="65" t="s">
        <v>246</v>
      </c>
      <c r="D146" s="56" t="s">
        <v>76</v>
      </c>
      <c r="E146" s="43"/>
      <c r="F146" s="65" t="s">
        <v>266</v>
      </c>
      <c r="G146" s="83" t="s">
        <v>276</v>
      </c>
      <c r="H146" s="60" t="s">
        <v>249</v>
      </c>
      <c r="I146" s="63" t="s">
        <v>250</v>
      </c>
      <c r="J146" s="63" t="s">
        <v>424</v>
      </c>
      <c r="K146" s="63"/>
      <c r="L146" s="63"/>
      <c r="M146" s="43" t="s">
        <v>24</v>
      </c>
      <c r="N146" s="43" t="s">
        <v>251</v>
      </c>
      <c r="O146" s="57">
        <v>45788</v>
      </c>
      <c r="P146" s="57" t="str" cm="1">
        <f t="array" aca="1" ref="P1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6" s="57" t="str" cm="1">
        <f t="array" aca="1" ref="Q1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6" s="62" t="s">
        <v>1063</v>
      </c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24" hidden="1" x14ac:dyDescent="0.25">
      <c r="A147" s="59">
        <v>141</v>
      </c>
      <c r="B147" s="56"/>
      <c r="C147" s="65" t="s">
        <v>246</v>
      </c>
      <c r="D147" s="56" t="s">
        <v>76</v>
      </c>
      <c r="E147" s="43"/>
      <c r="F147" s="65" t="s">
        <v>266</v>
      </c>
      <c r="G147" s="63" t="s">
        <v>277</v>
      </c>
      <c r="H147" s="60" t="s">
        <v>249</v>
      </c>
      <c r="I147" s="63" t="s">
        <v>250</v>
      </c>
      <c r="J147" s="63" t="s">
        <v>424</v>
      </c>
      <c r="K147" s="63"/>
      <c r="L147" s="63"/>
      <c r="M147" s="43" t="s">
        <v>24</v>
      </c>
      <c r="N147" s="43" t="s">
        <v>251</v>
      </c>
      <c r="O147" s="57">
        <v>45788</v>
      </c>
      <c r="P147" s="57" t="str" cm="1">
        <f t="array" aca="1" ref="P1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7" s="57" t="str" cm="1">
        <f t="array" aca="1" ref="Q1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7" s="62" t="s">
        <v>1064</v>
      </c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24" hidden="1" x14ac:dyDescent="0.25">
      <c r="A148" s="59">
        <v>142</v>
      </c>
      <c r="B148" s="56"/>
      <c r="C148" s="65" t="s">
        <v>246</v>
      </c>
      <c r="D148" s="56" t="s">
        <v>76</v>
      </c>
      <c r="E148" s="43"/>
      <c r="F148" s="65" t="s">
        <v>266</v>
      </c>
      <c r="G148" s="83" t="s">
        <v>278</v>
      </c>
      <c r="H148" s="60" t="s">
        <v>249</v>
      </c>
      <c r="I148" s="63" t="s">
        <v>250</v>
      </c>
      <c r="J148" s="63" t="s">
        <v>424</v>
      </c>
      <c r="K148" s="63"/>
      <c r="L148" s="63"/>
      <c r="M148" s="43" t="s">
        <v>24</v>
      </c>
      <c r="N148" s="43" t="s">
        <v>251</v>
      </c>
      <c r="O148" s="57">
        <v>45788</v>
      </c>
      <c r="P148" s="57" t="str" cm="1">
        <f t="array" aca="1" ref="P1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8" s="57" t="str" cm="1">
        <f t="array" aca="1" ref="Q1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8" s="62" t="s">
        <v>1065</v>
      </c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24" hidden="1" x14ac:dyDescent="0.25">
      <c r="A149" s="59">
        <v>143</v>
      </c>
      <c r="B149" s="56"/>
      <c r="C149" s="65" t="s">
        <v>246</v>
      </c>
      <c r="D149" s="56" t="s">
        <v>76</v>
      </c>
      <c r="E149" s="43"/>
      <c r="F149" s="65" t="s">
        <v>266</v>
      </c>
      <c r="G149" s="83" t="s">
        <v>279</v>
      </c>
      <c r="H149" s="60" t="s">
        <v>249</v>
      </c>
      <c r="I149" s="63" t="s">
        <v>250</v>
      </c>
      <c r="J149" s="63" t="s">
        <v>424</v>
      </c>
      <c r="K149" s="63"/>
      <c r="L149" s="63"/>
      <c r="M149" s="43" t="s">
        <v>24</v>
      </c>
      <c r="N149" s="43" t="s">
        <v>251</v>
      </c>
      <c r="O149" s="57">
        <v>45788</v>
      </c>
      <c r="P149" s="57" t="str" cm="1">
        <f t="array" aca="1" ref="P1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49" s="57" t="str" cm="1">
        <f t="array" aca="1" ref="Q1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49" s="62" t="s">
        <v>1066</v>
      </c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24" hidden="1" x14ac:dyDescent="0.25">
      <c r="A150" s="59">
        <v>144</v>
      </c>
      <c r="B150" s="56"/>
      <c r="C150" s="65" t="s">
        <v>246</v>
      </c>
      <c r="D150" s="56" t="s">
        <v>76</v>
      </c>
      <c r="E150" s="43"/>
      <c r="F150" s="65" t="s">
        <v>266</v>
      </c>
      <c r="G150" s="83" t="s">
        <v>280</v>
      </c>
      <c r="H150" s="60" t="s">
        <v>249</v>
      </c>
      <c r="I150" s="63" t="s">
        <v>250</v>
      </c>
      <c r="J150" s="63" t="s">
        <v>424</v>
      </c>
      <c r="K150" s="63"/>
      <c r="L150" s="63"/>
      <c r="M150" s="43" t="s">
        <v>24</v>
      </c>
      <c r="N150" s="43" t="s">
        <v>251</v>
      </c>
      <c r="O150" s="57">
        <v>45788</v>
      </c>
      <c r="P150" s="57" t="str" cm="1">
        <f t="array" aca="1" ref="P1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0" s="57" t="str" cm="1">
        <f t="array" aca="1" ref="Q1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0" s="62" t="s">
        <v>1067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16.1" customHeight="1" x14ac:dyDescent="0.25">
      <c r="A151" s="59">
        <v>145</v>
      </c>
      <c r="B151" s="56"/>
      <c r="C151" s="65" t="s">
        <v>246</v>
      </c>
      <c r="D151" s="56" t="s">
        <v>76</v>
      </c>
      <c r="E151" s="43" t="s">
        <v>824</v>
      </c>
      <c r="F151" s="65" t="s">
        <v>281</v>
      </c>
      <c r="G151" s="43" t="s">
        <v>291</v>
      </c>
      <c r="H151" s="60" t="s">
        <v>249</v>
      </c>
      <c r="I151" s="63" t="s">
        <v>286</v>
      </c>
      <c r="J151" s="63" t="s">
        <v>814</v>
      </c>
      <c r="K151" s="63" t="s">
        <v>1377</v>
      </c>
      <c r="L151" s="63">
        <v>1</v>
      </c>
      <c r="M151" s="43" t="s">
        <v>24</v>
      </c>
      <c r="N151" s="43" t="s">
        <v>251</v>
      </c>
      <c r="O151" s="57">
        <v>46082</v>
      </c>
      <c r="P151" s="57" t="str" cm="1">
        <f t="array" aca="1" ref="P1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1" s="57" t="str" cm="1">
        <f t="array" aca="1" ref="Q1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1" s="61" t="s">
        <v>287</v>
      </c>
      <c r="S151" s="30" t="s">
        <v>1387</v>
      </c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24" x14ac:dyDescent="0.25">
      <c r="A152" s="59">
        <v>146</v>
      </c>
      <c r="B152" s="56"/>
      <c r="C152" s="65" t="s">
        <v>246</v>
      </c>
      <c r="D152" s="56" t="s">
        <v>76</v>
      </c>
      <c r="E152" s="43" t="s">
        <v>825</v>
      </c>
      <c r="F152" s="65" t="s">
        <v>281</v>
      </c>
      <c r="G152" s="43" t="s">
        <v>924</v>
      </c>
      <c r="H152" s="60" t="s">
        <v>249</v>
      </c>
      <c r="I152" s="63" t="s">
        <v>286</v>
      </c>
      <c r="J152" s="63" t="s">
        <v>815</v>
      </c>
      <c r="K152" s="63" t="s">
        <v>1377</v>
      </c>
      <c r="L152" s="63"/>
      <c r="M152" s="43" t="s">
        <v>24</v>
      </c>
      <c r="N152" s="43" t="s">
        <v>251</v>
      </c>
      <c r="O152" s="57">
        <v>46082</v>
      </c>
      <c r="P152" s="57" t="str" cm="1">
        <f t="array" aca="1" ref="P1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2" s="57" t="str" cm="1">
        <f t="array" aca="1" ref="Q1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2" s="61" t="s">
        <v>926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24" x14ac:dyDescent="0.25">
      <c r="A153" s="59">
        <v>147</v>
      </c>
      <c r="B153" s="56"/>
      <c r="C153" s="65" t="s">
        <v>246</v>
      </c>
      <c r="D153" s="56" t="s">
        <v>76</v>
      </c>
      <c r="E153" s="43" t="s">
        <v>826</v>
      </c>
      <c r="F153" s="65" t="s">
        <v>281</v>
      </c>
      <c r="G153" s="43" t="s">
        <v>1016</v>
      </c>
      <c r="H153" s="60" t="s">
        <v>249</v>
      </c>
      <c r="I153" s="63" t="s">
        <v>286</v>
      </c>
      <c r="J153" s="63" t="s">
        <v>816</v>
      </c>
      <c r="K153" s="63" t="s">
        <v>1377</v>
      </c>
      <c r="L153" s="63"/>
      <c r="M153" s="43" t="s">
        <v>24</v>
      </c>
      <c r="N153" s="43" t="s">
        <v>251</v>
      </c>
      <c r="O153" s="57">
        <v>46082</v>
      </c>
      <c r="P153" s="57" t="str" cm="1">
        <f t="array" aca="1" ref="P1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3" s="57" t="str" cm="1">
        <f t="array" aca="1" ref="Q1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3" s="61" t="s">
        <v>287</v>
      </c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24" x14ac:dyDescent="0.25">
      <c r="A154" s="59">
        <v>148</v>
      </c>
      <c r="B154" s="56"/>
      <c r="C154" s="65" t="s">
        <v>246</v>
      </c>
      <c r="D154" s="56" t="s">
        <v>76</v>
      </c>
      <c r="E154" s="43" t="s">
        <v>827</v>
      </c>
      <c r="F154" s="65" t="s">
        <v>281</v>
      </c>
      <c r="G154" s="63" t="s">
        <v>283</v>
      </c>
      <c r="H154" s="68" t="s">
        <v>288</v>
      </c>
      <c r="I154" s="63" t="s">
        <v>286</v>
      </c>
      <c r="J154" s="63" t="s">
        <v>817</v>
      </c>
      <c r="K154" s="63" t="s">
        <v>1377</v>
      </c>
      <c r="L154" s="63"/>
      <c r="M154" s="43" t="s">
        <v>24</v>
      </c>
      <c r="N154" s="43" t="s">
        <v>251</v>
      </c>
      <c r="O154" s="57">
        <v>46082</v>
      </c>
      <c r="P154" s="57" t="str" cm="1">
        <f t="array" aca="1" ref="P1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4" s="57" t="str" cm="1">
        <f t="array" aca="1" ref="Q1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4" s="61" t="s">
        <v>926</v>
      </c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59">
        <v>149</v>
      </c>
      <c r="B155" s="56"/>
      <c r="C155" s="65" t="s">
        <v>246</v>
      </c>
      <c r="D155" s="56" t="s">
        <v>76</v>
      </c>
      <c r="E155" s="43" t="s">
        <v>857</v>
      </c>
      <c r="F155" s="65" t="s">
        <v>281</v>
      </c>
      <c r="G155" s="43" t="s">
        <v>283</v>
      </c>
      <c r="H155" s="60" t="s">
        <v>288</v>
      </c>
      <c r="I155" s="63" t="s">
        <v>289</v>
      </c>
      <c r="J155" s="63" t="s">
        <v>818</v>
      </c>
      <c r="K155" s="63" t="s">
        <v>1377</v>
      </c>
      <c r="L155" s="63"/>
      <c r="M155" s="43" t="s">
        <v>24</v>
      </c>
      <c r="N155" s="43" t="s">
        <v>251</v>
      </c>
      <c r="O155" s="57">
        <v>46082</v>
      </c>
      <c r="P155" s="57" t="str" cm="1">
        <f t="array" aca="1" ref="P1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5" s="57" t="str" cm="1">
        <f t="array" aca="1" ref="Q1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5" s="6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16.1" customHeight="1" x14ac:dyDescent="0.25">
      <c r="A156" s="59">
        <v>150</v>
      </c>
      <c r="B156" s="56"/>
      <c r="C156" s="65" t="s">
        <v>246</v>
      </c>
      <c r="D156" s="56" t="s">
        <v>76</v>
      </c>
      <c r="E156" s="43" t="s">
        <v>828</v>
      </c>
      <c r="F156" s="65" t="s">
        <v>281</v>
      </c>
      <c r="G156" s="43" t="s">
        <v>927</v>
      </c>
      <c r="H156" s="60" t="s">
        <v>284</v>
      </c>
      <c r="I156" s="63" t="s">
        <v>286</v>
      </c>
      <c r="J156" s="63" t="s">
        <v>819</v>
      </c>
      <c r="K156" s="63" t="s">
        <v>1383</v>
      </c>
      <c r="L156" s="63">
        <v>2</v>
      </c>
      <c r="M156" s="43" t="s">
        <v>24</v>
      </c>
      <c r="N156" s="43" t="s">
        <v>251</v>
      </c>
      <c r="O156" s="57">
        <v>46082</v>
      </c>
      <c r="P156" s="57" t="str" cm="1">
        <f t="array" aca="1" ref="P1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6" s="57" t="str" cm="1">
        <f t="array" aca="1" ref="Q1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6" s="61" t="s">
        <v>926</v>
      </c>
      <c r="S156" s="30" t="s">
        <v>1387</v>
      </c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24" x14ac:dyDescent="0.25">
      <c r="A157" s="59">
        <v>151</v>
      </c>
      <c r="B157" s="56"/>
      <c r="C157" s="65" t="s">
        <v>246</v>
      </c>
      <c r="D157" s="56" t="s">
        <v>76</v>
      </c>
      <c r="E157" s="43" t="s">
        <v>829</v>
      </c>
      <c r="F157" s="65" t="s">
        <v>281</v>
      </c>
      <c r="G157" s="43" t="s">
        <v>1017</v>
      </c>
      <c r="H157" s="60" t="s">
        <v>249</v>
      </c>
      <c r="I157" s="63" t="s">
        <v>286</v>
      </c>
      <c r="J157" s="63" t="s">
        <v>819</v>
      </c>
      <c r="K157" s="63" t="s">
        <v>1383</v>
      </c>
      <c r="L157" s="63"/>
      <c r="M157" s="43" t="s">
        <v>24</v>
      </c>
      <c r="N157" s="43" t="s">
        <v>251</v>
      </c>
      <c r="O157" s="57">
        <v>46082</v>
      </c>
      <c r="P157" s="57" t="str" cm="1">
        <f t="array" aca="1" ref="P1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7" s="57" t="str" cm="1">
        <f t="array" aca="1" ref="Q1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7" s="61" t="s">
        <v>287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2" customHeight="1" x14ac:dyDescent="0.25">
      <c r="A158" s="59">
        <v>152</v>
      </c>
      <c r="B158" s="56"/>
      <c r="C158" s="65" t="s">
        <v>246</v>
      </c>
      <c r="D158" s="56" t="s">
        <v>76</v>
      </c>
      <c r="E158" s="43" t="s">
        <v>830</v>
      </c>
      <c r="F158" s="65" t="s">
        <v>281</v>
      </c>
      <c r="G158" s="43" t="s">
        <v>1018</v>
      </c>
      <c r="H158" s="60" t="s">
        <v>249</v>
      </c>
      <c r="I158" s="63" t="s">
        <v>286</v>
      </c>
      <c r="J158" s="63" t="s">
        <v>820</v>
      </c>
      <c r="K158" s="63" t="s">
        <v>1383</v>
      </c>
      <c r="L158" s="63"/>
      <c r="M158" s="43" t="s">
        <v>24</v>
      </c>
      <c r="N158" s="43" t="s">
        <v>251</v>
      </c>
      <c r="O158" s="57">
        <v>46082</v>
      </c>
      <c r="P158" s="57" t="str" cm="1">
        <f t="array" aca="1" ref="P1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8" s="57" t="str" cm="1">
        <f t="array" aca="1" ref="Q1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8" s="61" t="s">
        <v>287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24" x14ac:dyDescent="0.25">
      <c r="A159" s="59">
        <v>153</v>
      </c>
      <c r="B159" s="56"/>
      <c r="C159" s="65" t="s">
        <v>246</v>
      </c>
      <c r="D159" s="56" t="s">
        <v>76</v>
      </c>
      <c r="E159" s="43" t="s">
        <v>831</v>
      </c>
      <c r="F159" s="65" t="s">
        <v>281</v>
      </c>
      <c r="G159" s="43" t="s">
        <v>1019</v>
      </c>
      <c r="H159" s="60" t="s">
        <v>249</v>
      </c>
      <c r="I159" s="63" t="s">
        <v>286</v>
      </c>
      <c r="J159" s="63" t="s">
        <v>821</v>
      </c>
      <c r="K159" s="63" t="s">
        <v>1383</v>
      </c>
      <c r="L159" s="63"/>
      <c r="M159" s="43" t="s">
        <v>24</v>
      </c>
      <c r="N159" s="43" t="s">
        <v>251</v>
      </c>
      <c r="O159" s="57">
        <v>46082</v>
      </c>
      <c r="P159" s="57" t="str" cm="1">
        <f t="array" aca="1" ref="P1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59" s="57" t="str" cm="1">
        <f t="array" aca="1" ref="Q1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59" s="61" t="s">
        <v>287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24" x14ac:dyDescent="0.25">
      <c r="A160" s="59">
        <v>154</v>
      </c>
      <c r="B160" s="56"/>
      <c r="C160" s="65" t="s">
        <v>246</v>
      </c>
      <c r="D160" s="56" t="s">
        <v>76</v>
      </c>
      <c r="E160" s="43" t="s">
        <v>832</v>
      </c>
      <c r="F160" s="65" t="s">
        <v>281</v>
      </c>
      <c r="G160" s="43" t="s">
        <v>283</v>
      </c>
      <c r="H160" s="60" t="s">
        <v>249</v>
      </c>
      <c r="I160" s="63" t="s">
        <v>286</v>
      </c>
      <c r="J160" s="63" t="s">
        <v>822</v>
      </c>
      <c r="K160" s="63" t="s">
        <v>1383</v>
      </c>
      <c r="L160" s="63"/>
      <c r="M160" s="43" t="s">
        <v>24</v>
      </c>
      <c r="N160" s="43" t="s">
        <v>251</v>
      </c>
      <c r="O160" s="57">
        <v>46082</v>
      </c>
      <c r="P160" s="57" t="str" cm="1">
        <f t="array" aca="1" ref="P1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0" s="57" t="str" cm="1">
        <f t="array" aca="1" ref="Q1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0" s="61" t="s">
        <v>287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2.75" customHeight="1" x14ac:dyDescent="0.25">
      <c r="A161" s="59">
        <v>155</v>
      </c>
      <c r="B161" s="56"/>
      <c r="C161" s="65" t="s">
        <v>246</v>
      </c>
      <c r="D161" s="56" t="s">
        <v>76</v>
      </c>
      <c r="E161" s="43" t="s">
        <v>833</v>
      </c>
      <c r="F161" s="65" t="s">
        <v>281</v>
      </c>
      <c r="G161" s="43"/>
      <c r="H161" s="60" t="s">
        <v>249</v>
      </c>
      <c r="I161" s="63" t="s">
        <v>286</v>
      </c>
      <c r="J161" s="63" t="s">
        <v>823</v>
      </c>
      <c r="K161" s="63" t="s">
        <v>1377</v>
      </c>
      <c r="L161" s="63"/>
      <c r="M161" s="43" t="s">
        <v>24</v>
      </c>
      <c r="N161" s="43" t="s">
        <v>251</v>
      </c>
      <c r="O161" s="57">
        <v>46082</v>
      </c>
      <c r="P161" s="57" t="str" cm="1">
        <f t="array" aca="1" ref="P1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1" s="57" t="str" cm="1">
        <f t="array" aca="1" ref="Q1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1" s="61" t="s">
        <v>287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2.75" customHeight="1" x14ac:dyDescent="0.25">
      <c r="A162" s="59">
        <v>156</v>
      </c>
      <c r="B162" s="56"/>
      <c r="C162" s="65" t="s">
        <v>246</v>
      </c>
      <c r="D162" s="56" t="s">
        <v>76</v>
      </c>
      <c r="E162" s="43" t="s">
        <v>858</v>
      </c>
      <c r="F162" s="65" t="s">
        <v>281</v>
      </c>
      <c r="G162" s="43" t="s">
        <v>283</v>
      </c>
      <c r="H162" s="60" t="s">
        <v>288</v>
      </c>
      <c r="I162" s="63" t="s">
        <v>289</v>
      </c>
      <c r="J162" s="63" t="s">
        <v>839</v>
      </c>
      <c r="K162" s="63" t="s">
        <v>1382</v>
      </c>
      <c r="L162" s="63"/>
      <c r="M162" s="43" t="s">
        <v>24</v>
      </c>
      <c r="N162" s="43" t="s">
        <v>251</v>
      </c>
      <c r="O162" s="57">
        <v>46082</v>
      </c>
      <c r="P162" s="57" t="str" cm="1">
        <f t="array" aca="1" ref="P1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2" s="57" t="str" cm="1">
        <f t="array" aca="1" ref="Q1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2" s="61" t="s">
        <v>926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2.75" customHeight="1" x14ac:dyDescent="0.25">
      <c r="A163" s="59">
        <v>157</v>
      </c>
      <c r="B163" s="56"/>
      <c r="C163" s="65" t="s">
        <v>246</v>
      </c>
      <c r="D163" s="56" t="s">
        <v>76</v>
      </c>
      <c r="E163" s="43" t="s">
        <v>859</v>
      </c>
      <c r="F163" s="65" t="s">
        <v>281</v>
      </c>
      <c r="G163" s="43" t="s">
        <v>283</v>
      </c>
      <c r="H163" s="60" t="s">
        <v>288</v>
      </c>
      <c r="I163" s="63" t="s">
        <v>289</v>
      </c>
      <c r="J163" s="63" t="s">
        <v>840</v>
      </c>
      <c r="K163" s="63" t="s">
        <v>1377</v>
      </c>
      <c r="L163" s="63"/>
      <c r="M163" s="43" t="s">
        <v>24</v>
      </c>
      <c r="N163" s="43" t="s">
        <v>251</v>
      </c>
      <c r="O163" s="57">
        <v>46082</v>
      </c>
      <c r="P163" s="57" t="str" cm="1">
        <f t="array" aca="1" ref="P1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3" s="57" t="str" cm="1">
        <f t="array" aca="1" ref="Q1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3" s="61" t="s">
        <v>926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16.1" customHeight="1" x14ac:dyDescent="0.25">
      <c r="A164" s="59">
        <v>158</v>
      </c>
      <c r="B164" s="56"/>
      <c r="C164" s="65" t="s">
        <v>246</v>
      </c>
      <c r="D164" s="56" t="s">
        <v>76</v>
      </c>
      <c r="E164" s="43" t="s">
        <v>860</v>
      </c>
      <c r="F164" s="65" t="s">
        <v>281</v>
      </c>
      <c r="G164" s="43" t="s">
        <v>283</v>
      </c>
      <c r="H164" s="60" t="s">
        <v>288</v>
      </c>
      <c r="I164" s="63" t="s">
        <v>289</v>
      </c>
      <c r="J164" s="63" t="s">
        <v>841</v>
      </c>
      <c r="K164" s="63" t="s">
        <v>1382</v>
      </c>
      <c r="L164" s="63">
        <v>3</v>
      </c>
      <c r="M164" s="43" t="s">
        <v>24</v>
      </c>
      <c r="N164" s="43" t="s">
        <v>251</v>
      </c>
      <c r="O164" s="57">
        <v>46082</v>
      </c>
      <c r="P164" s="57" t="str" cm="1">
        <f t="array" aca="1" ref="P1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4" s="57" t="str" cm="1">
        <f t="array" aca="1" ref="Q1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4" s="61" t="s">
        <v>926</v>
      </c>
      <c r="S164" s="30" t="s">
        <v>1387</v>
      </c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2.75" customHeight="1" x14ac:dyDescent="0.25">
      <c r="A165" s="59">
        <v>159</v>
      </c>
      <c r="B165" s="56"/>
      <c r="C165" s="65" t="s">
        <v>246</v>
      </c>
      <c r="D165" s="56" t="s">
        <v>76</v>
      </c>
      <c r="E165" s="43" t="s">
        <v>861</v>
      </c>
      <c r="F165" s="65" t="s">
        <v>281</v>
      </c>
      <c r="G165" s="43" t="s">
        <v>1020</v>
      </c>
      <c r="H165" s="60" t="s">
        <v>288</v>
      </c>
      <c r="I165" s="63" t="s">
        <v>289</v>
      </c>
      <c r="J165" s="63" t="s">
        <v>842</v>
      </c>
      <c r="K165" s="63" t="s">
        <v>1382</v>
      </c>
      <c r="L165" s="63"/>
      <c r="M165" s="43" t="s">
        <v>24</v>
      </c>
      <c r="N165" s="43" t="s">
        <v>251</v>
      </c>
      <c r="O165" s="57">
        <v>46082</v>
      </c>
      <c r="P165" s="57" t="str" cm="1">
        <f t="array" aca="1" ref="P1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5" s="57" t="str" cm="1">
        <f t="array" aca="1" ref="Q1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5" s="61" t="s">
        <v>978</v>
      </c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2.75" customHeight="1" x14ac:dyDescent="0.25">
      <c r="A166" s="59">
        <v>160</v>
      </c>
      <c r="B166" s="56"/>
      <c r="C166" s="65" t="s">
        <v>246</v>
      </c>
      <c r="D166" s="56" t="s">
        <v>76</v>
      </c>
      <c r="E166" s="43" t="s">
        <v>862</v>
      </c>
      <c r="F166" s="65" t="s">
        <v>281</v>
      </c>
      <c r="G166" s="43" t="s">
        <v>283</v>
      </c>
      <c r="H166" s="60" t="s">
        <v>288</v>
      </c>
      <c r="I166" s="63" t="s">
        <v>289</v>
      </c>
      <c r="J166" s="63" t="s">
        <v>843</v>
      </c>
      <c r="K166" s="63" t="s">
        <v>1382</v>
      </c>
      <c r="L166" s="63"/>
      <c r="M166" s="43" t="s">
        <v>24</v>
      </c>
      <c r="N166" s="43" t="s">
        <v>251</v>
      </c>
      <c r="O166" s="57">
        <v>46082</v>
      </c>
      <c r="P166" s="57" t="str" cm="1">
        <f t="array" aca="1" ref="P1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6" s="57" t="str" cm="1">
        <f t="array" aca="1" ref="Q1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6" s="61" t="s">
        <v>979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16.1" customHeight="1" x14ac:dyDescent="0.25">
      <c r="A167" s="59">
        <v>161</v>
      </c>
      <c r="B167" s="56"/>
      <c r="C167" s="65" t="s">
        <v>246</v>
      </c>
      <c r="D167" s="56" t="s">
        <v>76</v>
      </c>
      <c r="E167" s="43" t="s">
        <v>863</v>
      </c>
      <c r="F167" s="65" t="s">
        <v>281</v>
      </c>
      <c r="G167" s="43" t="s">
        <v>283</v>
      </c>
      <c r="H167" s="60" t="s">
        <v>288</v>
      </c>
      <c r="I167" s="63" t="s">
        <v>289</v>
      </c>
      <c r="J167" s="63" t="s">
        <v>844</v>
      </c>
      <c r="K167" s="63" t="s">
        <v>1378</v>
      </c>
      <c r="L167" s="63">
        <v>4</v>
      </c>
      <c r="M167" s="43" t="s">
        <v>24</v>
      </c>
      <c r="N167" s="43" t="s">
        <v>251</v>
      </c>
      <c r="O167" s="57">
        <v>46082</v>
      </c>
      <c r="P167" s="57" t="str" cm="1">
        <f t="array" aca="1" ref="P1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7" s="57" t="str" cm="1">
        <f t="array" aca="1" ref="Q1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7" s="61" t="s">
        <v>980</v>
      </c>
      <c r="S167" s="30" t="s">
        <v>1387</v>
      </c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2.75" customHeight="1" x14ac:dyDescent="0.25">
      <c r="A168" s="59">
        <v>162</v>
      </c>
      <c r="B168" s="56"/>
      <c r="C168" s="65" t="s">
        <v>246</v>
      </c>
      <c r="D168" s="56" t="s">
        <v>76</v>
      </c>
      <c r="E168" s="43" t="s">
        <v>864</v>
      </c>
      <c r="F168" s="65" t="s">
        <v>281</v>
      </c>
      <c r="G168" s="43" t="s">
        <v>283</v>
      </c>
      <c r="H168" s="60" t="s">
        <v>288</v>
      </c>
      <c r="I168" s="63" t="s">
        <v>289</v>
      </c>
      <c r="J168" s="63" t="s">
        <v>844</v>
      </c>
      <c r="K168" s="63" t="s">
        <v>1378</v>
      </c>
      <c r="L168" s="63"/>
      <c r="M168" s="43" t="s">
        <v>24</v>
      </c>
      <c r="N168" s="43" t="s">
        <v>251</v>
      </c>
      <c r="O168" s="57">
        <v>46082</v>
      </c>
      <c r="P168" s="57" t="str" cm="1">
        <f t="array" aca="1" ref="P1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8" s="57" t="str" cm="1">
        <f t="array" aca="1" ref="Q1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8" s="61" t="s">
        <v>981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16.1" customHeight="1" x14ac:dyDescent="0.25">
      <c r="A169" s="59">
        <v>163</v>
      </c>
      <c r="B169" s="56"/>
      <c r="C169" s="65" t="s">
        <v>246</v>
      </c>
      <c r="D169" s="56" t="s">
        <v>76</v>
      </c>
      <c r="E169" s="43" t="s">
        <v>865</v>
      </c>
      <c r="F169" s="65" t="s">
        <v>281</v>
      </c>
      <c r="G169" s="43" t="s">
        <v>283</v>
      </c>
      <c r="H169" s="60" t="s">
        <v>288</v>
      </c>
      <c r="I169" s="63" t="s">
        <v>289</v>
      </c>
      <c r="J169" s="63" t="s">
        <v>845</v>
      </c>
      <c r="K169" s="63" t="s">
        <v>1379</v>
      </c>
      <c r="L169" s="63">
        <v>5</v>
      </c>
      <c r="M169" s="43" t="s">
        <v>24</v>
      </c>
      <c r="N169" s="43" t="s">
        <v>251</v>
      </c>
      <c r="O169" s="57">
        <v>46082</v>
      </c>
      <c r="P169" s="57" t="str" cm="1">
        <f t="array" aca="1" ref="P1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69" s="57" t="str" cm="1">
        <f t="array" aca="1" ref="Q1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69" s="61" t="s">
        <v>982</v>
      </c>
      <c r="S169" s="30" t="s">
        <v>1387</v>
      </c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37.9" customHeight="1" x14ac:dyDescent="0.25">
      <c r="A170" s="59">
        <v>164</v>
      </c>
      <c r="B170" s="56"/>
      <c r="C170" s="65" t="s">
        <v>246</v>
      </c>
      <c r="D170" s="56" t="s">
        <v>76</v>
      </c>
      <c r="E170" s="43" t="s">
        <v>866</v>
      </c>
      <c r="F170" s="65" t="s">
        <v>281</v>
      </c>
      <c r="G170" s="43" t="s">
        <v>283</v>
      </c>
      <c r="H170" s="60" t="s">
        <v>288</v>
      </c>
      <c r="I170" s="63" t="s">
        <v>289</v>
      </c>
      <c r="J170" s="63" t="s">
        <v>846</v>
      </c>
      <c r="K170" s="63" t="s">
        <v>1377</v>
      </c>
      <c r="L170" s="63"/>
      <c r="M170" s="43" t="s">
        <v>24</v>
      </c>
      <c r="N170" s="43" t="s">
        <v>251</v>
      </c>
      <c r="O170" s="57">
        <v>46082</v>
      </c>
      <c r="P170" s="57" t="str" cm="1">
        <f t="array" aca="1" ref="P1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0" s="57" t="str" cm="1">
        <f t="array" aca="1" ref="Q1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0" s="61" t="s">
        <v>983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16.1" customHeight="1" x14ac:dyDescent="0.25">
      <c r="A171" s="59">
        <v>165</v>
      </c>
      <c r="B171" s="56"/>
      <c r="C171" s="65" t="s">
        <v>246</v>
      </c>
      <c r="D171" s="56" t="s">
        <v>76</v>
      </c>
      <c r="E171" s="43" t="s">
        <v>867</v>
      </c>
      <c r="F171" s="65" t="s">
        <v>281</v>
      </c>
      <c r="G171" s="43" t="s">
        <v>283</v>
      </c>
      <c r="H171" s="60" t="s">
        <v>288</v>
      </c>
      <c r="I171" s="63" t="s">
        <v>289</v>
      </c>
      <c r="J171" s="63" t="s">
        <v>847</v>
      </c>
      <c r="K171" s="63" t="s">
        <v>1385</v>
      </c>
      <c r="L171" s="63">
        <v>6</v>
      </c>
      <c r="M171" s="43" t="s">
        <v>24</v>
      </c>
      <c r="N171" s="43" t="s">
        <v>251</v>
      </c>
      <c r="O171" s="57">
        <v>46082</v>
      </c>
      <c r="P171" s="57" t="str" cm="1">
        <f t="array" aca="1" ref="P1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1" s="57" t="str" cm="1">
        <f t="array" aca="1" ref="Q1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1" s="61" t="s">
        <v>984</v>
      </c>
      <c r="S171" s="30" t="s">
        <v>1387</v>
      </c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2.75" customHeight="1" x14ac:dyDescent="0.25">
      <c r="A172" s="59">
        <v>166</v>
      </c>
      <c r="B172" s="56"/>
      <c r="C172" s="65" t="s">
        <v>246</v>
      </c>
      <c r="D172" s="56" t="s">
        <v>76</v>
      </c>
      <c r="E172" s="43" t="s">
        <v>868</v>
      </c>
      <c r="F172" s="65" t="s">
        <v>281</v>
      </c>
      <c r="G172" s="43" t="s">
        <v>283</v>
      </c>
      <c r="H172" s="60" t="s">
        <v>288</v>
      </c>
      <c r="I172" s="63" t="s">
        <v>289</v>
      </c>
      <c r="J172" s="63" t="s">
        <v>847</v>
      </c>
      <c r="K172" s="63" t="s">
        <v>1385</v>
      </c>
      <c r="L172" s="63"/>
      <c r="M172" s="43" t="s">
        <v>24</v>
      </c>
      <c r="N172" s="43" t="s">
        <v>251</v>
      </c>
      <c r="O172" s="57">
        <v>46082</v>
      </c>
      <c r="P172" s="57" t="str" cm="1">
        <f t="array" aca="1" ref="P1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2" s="57" t="str" cm="1">
        <f t="array" aca="1" ref="Q1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2" s="61" t="s">
        <v>985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2.75" customHeight="1" x14ac:dyDescent="0.25">
      <c r="A173" s="59">
        <v>167</v>
      </c>
      <c r="B173" s="56"/>
      <c r="C173" s="65" t="s">
        <v>246</v>
      </c>
      <c r="D173" s="56" t="s">
        <v>76</v>
      </c>
      <c r="E173" s="43" t="s">
        <v>836</v>
      </c>
      <c r="F173" s="65" t="s">
        <v>281</v>
      </c>
      <c r="G173" s="43">
        <v>826727</v>
      </c>
      <c r="H173" s="60" t="s">
        <v>288</v>
      </c>
      <c r="I173" s="63" t="s">
        <v>285</v>
      </c>
      <c r="J173" s="63" t="s">
        <v>834</v>
      </c>
      <c r="K173" s="63" t="s">
        <v>1385</v>
      </c>
      <c r="L173" s="63"/>
      <c r="M173" s="43" t="s">
        <v>24</v>
      </c>
      <c r="N173" s="43" t="s">
        <v>251</v>
      </c>
      <c r="O173" s="57">
        <v>46082</v>
      </c>
      <c r="P173" s="57" t="str" cm="1">
        <f t="array" aca="1" ref="P1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3" s="57" t="str" cm="1">
        <f t="array" aca="1" ref="Q1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3" s="61" t="s">
        <v>986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16.1" customHeight="1" x14ac:dyDescent="0.25">
      <c r="A174" s="59">
        <v>168</v>
      </c>
      <c r="B174" s="56"/>
      <c r="C174" s="65" t="s">
        <v>246</v>
      </c>
      <c r="D174" s="56" t="s">
        <v>76</v>
      </c>
      <c r="E174" s="43" t="s">
        <v>869</v>
      </c>
      <c r="F174" s="65" t="s">
        <v>281</v>
      </c>
      <c r="G174" s="43" t="s">
        <v>283</v>
      </c>
      <c r="H174" s="60" t="s">
        <v>288</v>
      </c>
      <c r="I174" s="63" t="s">
        <v>289</v>
      </c>
      <c r="J174" s="63" t="s">
        <v>848</v>
      </c>
      <c r="K174" s="63" t="s">
        <v>1380</v>
      </c>
      <c r="L174" s="63">
        <v>7</v>
      </c>
      <c r="M174" s="43" t="s">
        <v>24</v>
      </c>
      <c r="N174" s="43" t="s">
        <v>251</v>
      </c>
      <c r="O174" s="57">
        <v>46082</v>
      </c>
      <c r="P174" s="57" t="str" cm="1">
        <f t="array" aca="1" ref="P1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4" s="57" t="str" cm="1">
        <f t="array" aca="1" ref="Q1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4" s="61" t="s">
        <v>987</v>
      </c>
      <c r="S174" s="30" t="s">
        <v>1387</v>
      </c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24" x14ac:dyDescent="0.25">
      <c r="A175" s="59">
        <v>169</v>
      </c>
      <c r="B175" s="56"/>
      <c r="C175" s="65" t="s">
        <v>246</v>
      </c>
      <c r="D175" s="56" t="s">
        <v>76</v>
      </c>
      <c r="E175" s="43" t="s">
        <v>870</v>
      </c>
      <c r="F175" s="65" t="s">
        <v>281</v>
      </c>
      <c r="G175" s="43" t="s">
        <v>1021</v>
      </c>
      <c r="H175" s="60" t="s">
        <v>284</v>
      </c>
      <c r="I175" s="63" t="s">
        <v>289</v>
      </c>
      <c r="J175" s="63" t="s">
        <v>848</v>
      </c>
      <c r="K175" s="63" t="s">
        <v>1380</v>
      </c>
      <c r="L175" s="63"/>
      <c r="M175" s="43" t="s">
        <v>24</v>
      </c>
      <c r="N175" s="43" t="s">
        <v>251</v>
      </c>
      <c r="O175" s="57">
        <v>46082</v>
      </c>
      <c r="P175" s="57" t="str" cm="1">
        <f t="array" aca="1" ref="P1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5" s="57" t="str" cm="1">
        <f t="array" aca="1" ref="Q1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5" s="61" t="s">
        <v>988</v>
      </c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24" x14ac:dyDescent="0.25">
      <c r="A176" s="59">
        <v>170</v>
      </c>
      <c r="B176" s="56"/>
      <c r="C176" s="65" t="s">
        <v>246</v>
      </c>
      <c r="D176" s="56" t="s">
        <v>76</v>
      </c>
      <c r="E176" s="43" t="s">
        <v>871</v>
      </c>
      <c r="F176" s="65" t="s">
        <v>281</v>
      </c>
      <c r="G176" s="43" t="s">
        <v>283</v>
      </c>
      <c r="H176" s="60" t="s">
        <v>288</v>
      </c>
      <c r="I176" s="63" t="s">
        <v>289</v>
      </c>
      <c r="J176" s="63" t="s">
        <v>849</v>
      </c>
      <c r="K176" s="63" t="s">
        <v>1380</v>
      </c>
      <c r="L176" s="63"/>
      <c r="M176" s="43" t="s">
        <v>24</v>
      </c>
      <c r="N176" s="43" t="s">
        <v>251</v>
      </c>
      <c r="O176" s="57">
        <v>46082</v>
      </c>
      <c r="P176" s="57" t="str" cm="1">
        <f t="array" aca="1" ref="P1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6" s="57" t="str" cm="1">
        <f t="array" aca="1" ref="Q1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6" s="61" t="s">
        <v>989</v>
      </c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24" x14ac:dyDescent="0.25">
      <c r="A177" s="59">
        <v>171</v>
      </c>
      <c r="B177" s="56"/>
      <c r="C177" s="65" t="s">
        <v>246</v>
      </c>
      <c r="D177" s="56" t="s">
        <v>76</v>
      </c>
      <c r="E177" s="43" t="s">
        <v>855</v>
      </c>
      <c r="F177" s="65" t="s">
        <v>281</v>
      </c>
      <c r="G177" s="43" t="s">
        <v>923</v>
      </c>
      <c r="H177" s="60" t="s">
        <v>249</v>
      </c>
      <c r="I177" s="63" t="s">
        <v>282</v>
      </c>
      <c r="J177" s="63" t="s">
        <v>459</v>
      </c>
      <c r="K177" s="63" t="s">
        <v>1380</v>
      </c>
      <c r="L177" s="63"/>
      <c r="M177" s="43" t="s">
        <v>24</v>
      </c>
      <c r="N177" s="43" t="s">
        <v>251</v>
      </c>
      <c r="O177" s="57">
        <v>46082</v>
      </c>
      <c r="P177" s="57" t="str" cm="1">
        <f t="array" aca="1" ref="P1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7" s="57" t="str" cm="1">
        <f t="array" aca="1" ref="Q1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7" s="61" t="s">
        <v>990</v>
      </c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24" x14ac:dyDescent="0.25">
      <c r="A178" s="59">
        <v>172</v>
      </c>
      <c r="B178" s="56"/>
      <c r="C178" s="65" t="s">
        <v>246</v>
      </c>
      <c r="D178" s="56" t="s">
        <v>76</v>
      </c>
      <c r="E178" s="43" t="s">
        <v>872</v>
      </c>
      <c r="F178" s="65" t="s">
        <v>281</v>
      </c>
      <c r="G178" s="43" t="s">
        <v>290</v>
      </c>
      <c r="H178" s="60" t="s">
        <v>288</v>
      </c>
      <c r="I178" s="63" t="s">
        <v>289</v>
      </c>
      <c r="J178" s="63" t="s">
        <v>850</v>
      </c>
      <c r="K178" s="63" t="s">
        <v>1381</v>
      </c>
      <c r="L178" s="63"/>
      <c r="M178" s="43" t="s">
        <v>24</v>
      </c>
      <c r="N178" s="43" t="s">
        <v>251</v>
      </c>
      <c r="O178" s="57">
        <v>46082</v>
      </c>
      <c r="P178" s="57" t="str" cm="1">
        <f t="array" aca="1" ref="P1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8" s="57" t="str" cm="1">
        <f t="array" aca="1" ref="Q1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8" s="61" t="s">
        <v>991</v>
      </c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16.1" customHeight="1" x14ac:dyDescent="0.25">
      <c r="A179" s="59">
        <v>173</v>
      </c>
      <c r="B179" s="56"/>
      <c r="C179" s="65" t="s">
        <v>246</v>
      </c>
      <c r="D179" s="56" t="s">
        <v>76</v>
      </c>
      <c r="E179" s="43" t="s">
        <v>873</v>
      </c>
      <c r="F179" s="65" t="s">
        <v>281</v>
      </c>
      <c r="G179" s="43" t="s">
        <v>283</v>
      </c>
      <c r="H179" s="60" t="s">
        <v>284</v>
      </c>
      <c r="I179" s="63" t="s">
        <v>289</v>
      </c>
      <c r="J179" s="63" t="s">
        <v>850</v>
      </c>
      <c r="K179" s="63" t="s">
        <v>1381</v>
      </c>
      <c r="L179" s="63">
        <v>8</v>
      </c>
      <c r="M179" s="43" t="s">
        <v>24</v>
      </c>
      <c r="N179" s="43" t="s">
        <v>251</v>
      </c>
      <c r="O179" s="57">
        <v>46082</v>
      </c>
      <c r="P179" s="57" t="str" cm="1">
        <f t="array" aca="1" ref="P1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79" s="57" t="str" cm="1">
        <f t="array" aca="1" ref="Q1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79" s="61" t="s">
        <v>992</v>
      </c>
      <c r="S179" s="30" t="s">
        <v>1387</v>
      </c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24" x14ac:dyDescent="0.25">
      <c r="A180" s="59">
        <v>174</v>
      </c>
      <c r="B180" s="56"/>
      <c r="C180" s="65" t="s">
        <v>246</v>
      </c>
      <c r="D180" s="56" t="s">
        <v>76</v>
      </c>
      <c r="E180" s="43" t="s">
        <v>856</v>
      </c>
      <c r="F180" s="65" t="s">
        <v>281</v>
      </c>
      <c r="G180" s="43">
        <v>279705</v>
      </c>
      <c r="H180" s="60" t="s">
        <v>249</v>
      </c>
      <c r="I180" s="63" t="s">
        <v>282</v>
      </c>
      <c r="J180" s="63" t="s">
        <v>424</v>
      </c>
      <c r="K180" s="63" t="s">
        <v>1381</v>
      </c>
      <c r="L180" s="63"/>
      <c r="M180" s="43" t="s">
        <v>24</v>
      </c>
      <c r="N180" s="43" t="s">
        <v>251</v>
      </c>
      <c r="O180" s="57">
        <v>46082</v>
      </c>
      <c r="P180" s="57" t="str" cm="1">
        <f t="array" aca="1" ref="P1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0" s="57" t="str" cm="1">
        <f t="array" aca="1" ref="Q1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0" s="61" t="s">
        <v>993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24" x14ac:dyDescent="0.25">
      <c r="A181" s="59">
        <v>175</v>
      </c>
      <c r="B181" s="56"/>
      <c r="C181" s="65" t="s">
        <v>246</v>
      </c>
      <c r="D181" s="56" t="s">
        <v>76</v>
      </c>
      <c r="E181" s="43" t="s">
        <v>874</v>
      </c>
      <c r="F181" s="65" t="s">
        <v>281</v>
      </c>
      <c r="G181" s="43" t="s">
        <v>283</v>
      </c>
      <c r="H181" s="60" t="s">
        <v>288</v>
      </c>
      <c r="I181" s="63" t="s">
        <v>289</v>
      </c>
      <c r="J181" s="63" t="s">
        <v>851</v>
      </c>
      <c r="K181" s="63" t="s">
        <v>1381</v>
      </c>
      <c r="L181" s="63"/>
      <c r="M181" s="43" t="s">
        <v>24</v>
      </c>
      <c r="N181" s="43" t="s">
        <v>251</v>
      </c>
      <c r="O181" s="57">
        <v>46082</v>
      </c>
      <c r="P181" s="57" t="str" cm="1">
        <f t="array" aca="1" ref="P1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1" s="57" t="str" cm="1">
        <f t="array" aca="1" ref="Q1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1" s="61" t="s">
        <v>994</v>
      </c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24" x14ac:dyDescent="0.25">
      <c r="A182" s="59">
        <v>176</v>
      </c>
      <c r="B182" s="56"/>
      <c r="C182" s="65" t="s">
        <v>246</v>
      </c>
      <c r="D182" s="56" t="s">
        <v>76</v>
      </c>
      <c r="E182" s="43" t="s">
        <v>837</v>
      </c>
      <c r="F182" s="65" t="s">
        <v>281</v>
      </c>
      <c r="G182" s="43">
        <v>179315</v>
      </c>
      <c r="H182" s="60" t="s">
        <v>288</v>
      </c>
      <c r="I182" s="63" t="s">
        <v>285</v>
      </c>
      <c r="J182" s="63" t="s">
        <v>835</v>
      </c>
      <c r="K182" s="63" t="s">
        <v>1383</v>
      </c>
      <c r="L182" s="63"/>
      <c r="M182" s="43" t="s">
        <v>24</v>
      </c>
      <c r="N182" s="43" t="s">
        <v>251</v>
      </c>
      <c r="O182" s="57">
        <v>46082</v>
      </c>
      <c r="P182" s="57" t="str" cm="1">
        <f t="array" aca="1" ref="P1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2" s="57" t="str" cm="1">
        <f t="array" aca="1" ref="Q1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2" s="61" t="s">
        <v>995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24" x14ac:dyDescent="0.25">
      <c r="A183" s="59">
        <v>177</v>
      </c>
      <c r="B183" s="56"/>
      <c r="C183" s="65" t="s">
        <v>246</v>
      </c>
      <c r="D183" s="56" t="s">
        <v>76</v>
      </c>
      <c r="E183" s="43" t="s">
        <v>838</v>
      </c>
      <c r="F183" s="65" t="s">
        <v>281</v>
      </c>
      <c r="G183" s="43" t="s">
        <v>283</v>
      </c>
      <c r="H183" s="60" t="s">
        <v>288</v>
      </c>
      <c r="I183" s="63" t="s">
        <v>285</v>
      </c>
      <c r="J183" s="63" t="s">
        <v>835</v>
      </c>
      <c r="K183" s="63" t="s">
        <v>1383</v>
      </c>
      <c r="L183" s="63"/>
      <c r="M183" s="43" t="s">
        <v>24</v>
      </c>
      <c r="N183" s="43" t="s">
        <v>251</v>
      </c>
      <c r="O183" s="57">
        <v>46082</v>
      </c>
      <c r="P183" s="57" t="str" cm="1">
        <f t="array" aca="1" ref="P1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3" s="57" t="str" cm="1">
        <f t="array" aca="1" ref="Q1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3" s="61" t="s">
        <v>996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24" x14ac:dyDescent="0.25">
      <c r="A184" s="59">
        <v>178</v>
      </c>
      <c r="B184" s="56"/>
      <c r="C184" s="65" t="s">
        <v>246</v>
      </c>
      <c r="D184" s="56" t="s">
        <v>76</v>
      </c>
      <c r="E184" s="43" t="s">
        <v>875</v>
      </c>
      <c r="F184" s="65" t="s">
        <v>281</v>
      </c>
      <c r="G184" s="43" t="s">
        <v>1022</v>
      </c>
      <c r="H184" s="60" t="s">
        <v>288</v>
      </c>
      <c r="I184" s="63" t="s">
        <v>289</v>
      </c>
      <c r="J184" s="63" t="s">
        <v>852</v>
      </c>
      <c r="K184" s="63" t="s">
        <v>1383</v>
      </c>
      <c r="L184" s="63"/>
      <c r="M184" s="43" t="s">
        <v>24</v>
      </c>
      <c r="N184" s="43" t="s">
        <v>251</v>
      </c>
      <c r="O184" s="57">
        <v>46082</v>
      </c>
      <c r="P184" s="57" t="str" cm="1">
        <f t="array" aca="1" ref="P1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4" s="57" t="str" cm="1">
        <f t="array" aca="1" ref="Q1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4" s="61" t="s">
        <v>997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24" x14ac:dyDescent="0.25">
      <c r="A185" s="59">
        <v>179</v>
      </c>
      <c r="B185" s="56"/>
      <c r="C185" s="65" t="s">
        <v>246</v>
      </c>
      <c r="D185" s="56" t="s">
        <v>76</v>
      </c>
      <c r="E185" s="43" t="s">
        <v>876</v>
      </c>
      <c r="F185" s="65" t="s">
        <v>281</v>
      </c>
      <c r="G185" s="43" t="s">
        <v>283</v>
      </c>
      <c r="H185" s="60" t="s">
        <v>288</v>
      </c>
      <c r="I185" s="63" t="s">
        <v>289</v>
      </c>
      <c r="J185" s="63" t="s">
        <v>853</v>
      </c>
      <c r="K185" s="63" t="s">
        <v>1382</v>
      </c>
      <c r="L185" s="63"/>
      <c r="M185" s="43" t="s">
        <v>24</v>
      </c>
      <c r="N185" s="43" t="s">
        <v>251</v>
      </c>
      <c r="O185" s="57">
        <v>46082</v>
      </c>
      <c r="P185" s="57" t="str" cm="1">
        <f t="array" aca="1" ref="P1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5" s="57" t="str" cm="1">
        <f t="array" aca="1" ref="Q1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5" s="61" t="s">
        <v>998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24" x14ac:dyDescent="0.25">
      <c r="A186" s="59">
        <v>180</v>
      </c>
      <c r="B186" s="56"/>
      <c r="C186" s="65" t="s">
        <v>246</v>
      </c>
      <c r="D186" s="56" t="s">
        <v>76</v>
      </c>
      <c r="E186" s="43" t="s">
        <v>877</v>
      </c>
      <c r="F186" s="65" t="s">
        <v>281</v>
      </c>
      <c r="G186" s="43" t="s">
        <v>283</v>
      </c>
      <c r="H186" s="60" t="s">
        <v>288</v>
      </c>
      <c r="I186" s="63" t="s">
        <v>289</v>
      </c>
      <c r="J186" s="63" t="s">
        <v>854</v>
      </c>
      <c r="K186" s="63" t="s">
        <v>1382</v>
      </c>
      <c r="L186" s="63"/>
      <c r="M186" s="43" t="s">
        <v>24</v>
      </c>
      <c r="N186" s="43" t="s">
        <v>251</v>
      </c>
      <c r="O186" s="57">
        <v>46082</v>
      </c>
      <c r="P186" s="57" t="str" cm="1">
        <f t="array" aca="1" ref="P1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186" s="57" t="str" cm="1">
        <f t="array" aca="1" ref="Q1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6" s="61" t="s">
        <v>999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59">
        <v>181</v>
      </c>
      <c r="B187" s="137"/>
      <c r="C187" s="65" t="s">
        <v>246</v>
      </c>
      <c r="D187" s="56" t="s">
        <v>76</v>
      </c>
      <c r="E187" s="43" t="s">
        <v>915</v>
      </c>
      <c r="F187" s="65" t="s">
        <v>281</v>
      </c>
      <c r="G187" s="43"/>
      <c r="H187" s="60" t="s">
        <v>288</v>
      </c>
      <c r="I187" s="63" t="s">
        <v>286</v>
      </c>
      <c r="J187" s="63" t="s">
        <v>907</v>
      </c>
      <c r="K187" s="63"/>
      <c r="L187" s="63"/>
      <c r="M187" s="43" t="s">
        <v>24</v>
      </c>
      <c r="N187" s="43" t="s">
        <v>251</v>
      </c>
      <c r="O187" s="57">
        <v>45717</v>
      </c>
      <c r="P187" s="57">
        <v>46082</v>
      </c>
      <c r="Q187" s="57" t="str" cm="1">
        <f t="array" aca="1" ref="Q1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7" s="6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59">
        <v>182</v>
      </c>
      <c r="B188" s="137"/>
      <c r="C188" s="65" t="s">
        <v>246</v>
      </c>
      <c r="D188" s="56" t="s">
        <v>76</v>
      </c>
      <c r="E188" s="43" t="s">
        <v>883</v>
      </c>
      <c r="F188" s="65" t="s">
        <v>281</v>
      </c>
      <c r="G188" s="43"/>
      <c r="H188" s="60" t="s">
        <v>288</v>
      </c>
      <c r="I188" s="63" t="s">
        <v>289</v>
      </c>
      <c r="J188" s="63" t="s">
        <v>878</v>
      </c>
      <c r="K188" s="63"/>
      <c r="L188" s="63"/>
      <c r="M188" s="43" t="s">
        <v>24</v>
      </c>
      <c r="N188" s="43" t="s">
        <v>251</v>
      </c>
      <c r="O188" s="57"/>
      <c r="P188" s="57"/>
      <c r="Q188" s="57" t="str" cm="1">
        <f t="array" aca="1" ref="Q1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8" s="6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59">
        <v>183</v>
      </c>
      <c r="B189" s="137"/>
      <c r="C189" s="65" t="s">
        <v>246</v>
      </c>
      <c r="D189" s="56" t="s">
        <v>76</v>
      </c>
      <c r="E189" s="43" t="s">
        <v>884</v>
      </c>
      <c r="F189" s="65" t="s">
        <v>281</v>
      </c>
      <c r="G189" s="43"/>
      <c r="H189" s="60" t="s">
        <v>288</v>
      </c>
      <c r="I189" s="63" t="s">
        <v>289</v>
      </c>
      <c r="J189" s="63" t="s">
        <v>879</v>
      </c>
      <c r="K189" s="63"/>
      <c r="L189" s="63"/>
      <c r="M189" s="43" t="s">
        <v>24</v>
      </c>
      <c r="N189" s="43" t="s">
        <v>251</v>
      </c>
      <c r="O189" s="57"/>
      <c r="P189" s="57"/>
      <c r="Q189" s="57" t="str" cm="1">
        <f t="array" aca="1" ref="Q1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89" s="6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59">
        <v>184</v>
      </c>
      <c r="B190" s="137"/>
      <c r="C190" s="65" t="s">
        <v>246</v>
      </c>
      <c r="D190" s="56" t="s">
        <v>76</v>
      </c>
      <c r="E190" s="43" t="s">
        <v>885</v>
      </c>
      <c r="F190" s="65" t="s">
        <v>281</v>
      </c>
      <c r="G190" s="43"/>
      <c r="H190" s="60" t="s">
        <v>288</v>
      </c>
      <c r="I190" s="63" t="s">
        <v>289</v>
      </c>
      <c r="J190" s="63" t="s">
        <v>880</v>
      </c>
      <c r="K190" s="63"/>
      <c r="L190" s="63"/>
      <c r="M190" s="43" t="s">
        <v>24</v>
      </c>
      <c r="N190" s="43" t="s">
        <v>251</v>
      </c>
      <c r="O190" s="57"/>
      <c r="P190" s="57"/>
      <c r="Q190" s="57" t="str" cm="1">
        <f t="array" aca="1" ref="Q1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0" s="6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59">
        <v>185</v>
      </c>
      <c r="B191" s="137"/>
      <c r="C191" s="65" t="s">
        <v>246</v>
      </c>
      <c r="D191" s="56" t="s">
        <v>76</v>
      </c>
      <c r="E191" s="43" t="s">
        <v>916</v>
      </c>
      <c r="F191" s="65" t="s">
        <v>281</v>
      </c>
      <c r="G191" s="43"/>
      <c r="H191" s="60" t="s">
        <v>288</v>
      </c>
      <c r="I191" s="63" t="s">
        <v>286</v>
      </c>
      <c r="J191" s="63" t="s">
        <v>908</v>
      </c>
      <c r="K191" s="63"/>
      <c r="L191" s="63"/>
      <c r="M191" s="43" t="s">
        <v>24</v>
      </c>
      <c r="N191" s="43" t="s">
        <v>251</v>
      </c>
      <c r="O191" s="57">
        <v>45717</v>
      </c>
      <c r="P191" s="57">
        <v>46082</v>
      </c>
      <c r="Q191" s="57" t="str" cm="1">
        <f t="array" aca="1" ref="Q1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1" s="6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59">
        <v>186</v>
      </c>
      <c r="B192" s="137"/>
      <c r="C192" s="65" t="s">
        <v>246</v>
      </c>
      <c r="D192" s="56" t="s">
        <v>76</v>
      </c>
      <c r="E192" s="43" t="s">
        <v>886</v>
      </c>
      <c r="F192" s="65" t="s">
        <v>281</v>
      </c>
      <c r="G192" s="43"/>
      <c r="H192" s="60" t="s">
        <v>288</v>
      </c>
      <c r="I192" s="63" t="s">
        <v>289</v>
      </c>
      <c r="J192" s="63" t="s">
        <v>881</v>
      </c>
      <c r="K192" s="63"/>
      <c r="L192" s="63"/>
      <c r="M192" s="43" t="s">
        <v>24</v>
      </c>
      <c r="N192" s="43" t="s">
        <v>251</v>
      </c>
      <c r="O192" s="57"/>
      <c r="P192" s="57"/>
      <c r="Q192" s="57" t="str" cm="1">
        <f t="array" aca="1" ref="Q1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2" s="6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59">
        <v>187</v>
      </c>
      <c r="B193" s="137"/>
      <c r="C193" s="65" t="s">
        <v>246</v>
      </c>
      <c r="D193" s="56" t="s">
        <v>76</v>
      </c>
      <c r="E193" s="43" t="s">
        <v>917</v>
      </c>
      <c r="F193" s="65" t="s">
        <v>281</v>
      </c>
      <c r="G193" s="43"/>
      <c r="H193" s="60" t="s">
        <v>288</v>
      </c>
      <c r="I193" s="63" t="s">
        <v>286</v>
      </c>
      <c r="J193" s="63" t="s">
        <v>909</v>
      </c>
      <c r="K193" s="63"/>
      <c r="L193" s="63"/>
      <c r="M193" s="43" t="s">
        <v>24</v>
      </c>
      <c r="N193" s="43" t="s">
        <v>251</v>
      </c>
      <c r="O193" s="57">
        <v>45717</v>
      </c>
      <c r="P193" s="57">
        <v>46082</v>
      </c>
      <c r="Q193" s="57" t="str" cm="1">
        <f t="array" aca="1" ref="Q1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3" s="6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59">
        <v>188</v>
      </c>
      <c r="B194" s="137"/>
      <c r="C194" s="65" t="s">
        <v>246</v>
      </c>
      <c r="D194" s="56" t="s">
        <v>76</v>
      </c>
      <c r="E194" s="43" t="s">
        <v>887</v>
      </c>
      <c r="F194" s="65" t="s">
        <v>281</v>
      </c>
      <c r="G194" s="43"/>
      <c r="H194" s="60" t="s">
        <v>288</v>
      </c>
      <c r="I194" s="63" t="s">
        <v>289</v>
      </c>
      <c r="J194" s="63" t="s">
        <v>882</v>
      </c>
      <c r="K194" s="63"/>
      <c r="L194" s="63"/>
      <c r="M194" s="43" t="s">
        <v>24</v>
      </c>
      <c r="N194" s="43" t="s">
        <v>251</v>
      </c>
      <c r="O194" s="57"/>
      <c r="P194" s="57"/>
      <c r="Q194" s="57" t="str" cm="1">
        <f t="array" aca="1" ref="Q1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4" s="6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59">
        <v>189</v>
      </c>
      <c r="B195" s="137"/>
      <c r="C195" s="65" t="s">
        <v>246</v>
      </c>
      <c r="D195" s="56" t="s">
        <v>76</v>
      </c>
      <c r="E195" s="43" t="s">
        <v>918</v>
      </c>
      <c r="F195" s="65" t="s">
        <v>281</v>
      </c>
      <c r="G195" s="43"/>
      <c r="H195" s="60" t="s">
        <v>288</v>
      </c>
      <c r="I195" s="63" t="s">
        <v>286</v>
      </c>
      <c r="J195" s="63" t="s">
        <v>910</v>
      </c>
      <c r="K195" s="63"/>
      <c r="L195" s="63"/>
      <c r="M195" s="43" t="s">
        <v>24</v>
      </c>
      <c r="N195" s="43" t="s">
        <v>251</v>
      </c>
      <c r="O195" s="57">
        <v>45717</v>
      </c>
      <c r="P195" s="57">
        <v>46082</v>
      </c>
      <c r="Q195" s="57" t="str" cm="1">
        <f t="array" aca="1" ref="Q1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5" s="6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59">
        <v>190</v>
      </c>
      <c r="B196" s="137"/>
      <c r="C196" s="65" t="s">
        <v>246</v>
      </c>
      <c r="D196" s="56" t="s">
        <v>76</v>
      </c>
      <c r="E196" s="43" t="s">
        <v>919</v>
      </c>
      <c r="F196" s="65" t="s">
        <v>281</v>
      </c>
      <c r="G196" s="43"/>
      <c r="H196" s="60" t="s">
        <v>288</v>
      </c>
      <c r="I196" s="63" t="s">
        <v>286</v>
      </c>
      <c r="J196" s="63" t="s">
        <v>911</v>
      </c>
      <c r="K196" s="63"/>
      <c r="L196" s="63"/>
      <c r="M196" s="43" t="s">
        <v>24</v>
      </c>
      <c r="N196" s="43" t="s">
        <v>251</v>
      </c>
      <c r="O196" s="57">
        <v>45717</v>
      </c>
      <c r="P196" s="57">
        <v>46082</v>
      </c>
      <c r="Q196" s="57" t="str" cm="1">
        <f t="array" aca="1" ref="Q1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6" s="6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24" x14ac:dyDescent="0.25">
      <c r="A197" s="59">
        <v>191</v>
      </c>
      <c r="B197" s="137"/>
      <c r="C197" s="65" t="s">
        <v>246</v>
      </c>
      <c r="D197" s="56" t="s">
        <v>76</v>
      </c>
      <c r="E197" s="43" t="s">
        <v>920</v>
      </c>
      <c r="F197" s="65" t="s">
        <v>281</v>
      </c>
      <c r="G197" s="43"/>
      <c r="H197" s="60" t="s">
        <v>288</v>
      </c>
      <c r="I197" s="63" t="s">
        <v>286</v>
      </c>
      <c r="J197" s="63" t="s">
        <v>912</v>
      </c>
      <c r="K197" s="63"/>
      <c r="L197" s="63"/>
      <c r="M197" s="43" t="s">
        <v>24</v>
      </c>
      <c r="N197" s="43" t="s">
        <v>251</v>
      </c>
      <c r="O197" s="57">
        <v>45717</v>
      </c>
      <c r="P197" s="57">
        <v>46082</v>
      </c>
      <c r="Q197" s="57" t="str" cm="1">
        <f t="array" aca="1" ref="Q1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7" s="6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24" x14ac:dyDescent="0.25">
      <c r="A198" s="59">
        <v>192</v>
      </c>
      <c r="B198" s="137"/>
      <c r="C198" s="65" t="s">
        <v>246</v>
      </c>
      <c r="D198" s="56" t="s">
        <v>76</v>
      </c>
      <c r="E198" s="43" t="s">
        <v>921</v>
      </c>
      <c r="F198" s="65" t="s">
        <v>281</v>
      </c>
      <c r="G198" s="43"/>
      <c r="H198" s="60" t="s">
        <v>288</v>
      </c>
      <c r="I198" s="63" t="s">
        <v>286</v>
      </c>
      <c r="J198" s="63" t="s">
        <v>913</v>
      </c>
      <c r="K198" s="63"/>
      <c r="L198" s="63"/>
      <c r="M198" s="43" t="s">
        <v>24</v>
      </c>
      <c r="N198" s="43" t="s">
        <v>251</v>
      </c>
      <c r="O198" s="57">
        <v>45717</v>
      </c>
      <c r="P198" s="57">
        <v>46082</v>
      </c>
      <c r="Q198" s="57" t="str" cm="1">
        <f t="array" aca="1" ref="Q1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8" s="6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59">
        <v>193</v>
      </c>
      <c r="B199" s="137"/>
      <c r="C199" s="65" t="s">
        <v>246</v>
      </c>
      <c r="D199" s="56" t="s">
        <v>76</v>
      </c>
      <c r="E199" s="43" t="s">
        <v>922</v>
      </c>
      <c r="F199" s="65" t="s">
        <v>281</v>
      </c>
      <c r="G199" s="43"/>
      <c r="H199" s="60" t="s">
        <v>288</v>
      </c>
      <c r="I199" s="63" t="s">
        <v>286</v>
      </c>
      <c r="J199" s="63" t="s">
        <v>914</v>
      </c>
      <c r="K199" s="63"/>
      <c r="L199" s="63"/>
      <c r="M199" s="43" t="s">
        <v>24</v>
      </c>
      <c r="N199" s="43" t="s">
        <v>251</v>
      </c>
      <c r="O199" s="57">
        <v>45717</v>
      </c>
      <c r="P199" s="57">
        <v>46082</v>
      </c>
      <c r="Q199" s="57" t="str" cm="1">
        <f t="array" aca="1" ref="Q1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199" s="6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59">
        <v>194</v>
      </c>
      <c r="B200" s="137"/>
      <c r="C200" s="65" t="s">
        <v>246</v>
      </c>
      <c r="D200" s="56" t="s">
        <v>76</v>
      </c>
      <c r="E200" s="43" t="s">
        <v>888</v>
      </c>
      <c r="F200" s="65" t="s">
        <v>281</v>
      </c>
      <c r="G200" s="43"/>
      <c r="H200" s="60" t="s">
        <v>288</v>
      </c>
      <c r="I200" s="63" t="s">
        <v>897</v>
      </c>
      <c r="J200" s="63" t="s">
        <v>898</v>
      </c>
      <c r="K200" s="63"/>
      <c r="L200" s="63"/>
      <c r="M200" s="43" t="s">
        <v>24</v>
      </c>
      <c r="N200" s="43" t="s">
        <v>251</v>
      </c>
      <c r="O200" s="57">
        <v>45717</v>
      </c>
      <c r="P200" s="57">
        <v>46082</v>
      </c>
      <c r="Q200" s="57" t="str" cm="1">
        <f t="array" aca="1" ref="Q2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0" s="6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25">
      <c r="A201" s="59">
        <v>195</v>
      </c>
      <c r="B201" s="137"/>
      <c r="C201" s="65" t="s">
        <v>246</v>
      </c>
      <c r="D201" s="56" t="s">
        <v>76</v>
      </c>
      <c r="E201" s="43" t="s">
        <v>889</v>
      </c>
      <c r="F201" s="65" t="s">
        <v>281</v>
      </c>
      <c r="G201" s="43"/>
      <c r="H201" s="60" t="s">
        <v>288</v>
      </c>
      <c r="I201" s="63" t="s">
        <v>897</v>
      </c>
      <c r="J201" s="63" t="s">
        <v>899</v>
      </c>
      <c r="K201" s="63"/>
      <c r="L201" s="63"/>
      <c r="M201" s="43" t="s">
        <v>24</v>
      </c>
      <c r="N201" s="43" t="s">
        <v>251</v>
      </c>
      <c r="O201" s="57">
        <v>45717</v>
      </c>
      <c r="P201" s="57">
        <v>46082</v>
      </c>
      <c r="Q201" s="57" t="str" cm="1">
        <f t="array" aca="1" ref="Q2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1" s="6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25">
      <c r="A202" s="59">
        <v>196</v>
      </c>
      <c r="B202" s="137"/>
      <c r="C202" s="65" t="s">
        <v>246</v>
      </c>
      <c r="D202" s="56" t="s">
        <v>76</v>
      </c>
      <c r="E202" s="43" t="s">
        <v>890</v>
      </c>
      <c r="F202" s="65" t="s">
        <v>281</v>
      </c>
      <c r="G202" s="43"/>
      <c r="H202" s="60" t="s">
        <v>288</v>
      </c>
      <c r="I202" s="63" t="s">
        <v>897</v>
      </c>
      <c r="J202" s="63" t="s">
        <v>900</v>
      </c>
      <c r="K202" s="63"/>
      <c r="L202" s="63"/>
      <c r="M202" s="43" t="s">
        <v>24</v>
      </c>
      <c r="N202" s="43" t="s">
        <v>251</v>
      </c>
      <c r="O202" s="57">
        <v>45717</v>
      </c>
      <c r="P202" s="57">
        <v>46082</v>
      </c>
      <c r="Q202" s="57" t="str" cm="1">
        <f t="array" aca="1" ref="Q2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2" s="6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25">
      <c r="A203" s="59">
        <v>197</v>
      </c>
      <c r="B203" s="137"/>
      <c r="C203" s="65" t="s">
        <v>246</v>
      </c>
      <c r="D203" s="56" t="s">
        <v>76</v>
      </c>
      <c r="E203" s="43" t="s">
        <v>891</v>
      </c>
      <c r="F203" s="65" t="s">
        <v>281</v>
      </c>
      <c r="G203" s="43"/>
      <c r="H203" s="60" t="s">
        <v>288</v>
      </c>
      <c r="I203" s="63" t="s">
        <v>897</v>
      </c>
      <c r="J203" s="63" t="s">
        <v>901</v>
      </c>
      <c r="K203" s="63"/>
      <c r="L203" s="63"/>
      <c r="M203" s="43" t="s">
        <v>24</v>
      </c>
      <c r="N203" s="43" t="s">
        <v>251</v>
      </c>
      <c r="O203" s="57">
        <v>45717</v>
      </c>
      <c r="P203" s="57">
        <v>46082</v>
      </c>
      <c r="Q203" s="57" t="str" cm="1">
        <f t="array" aca="1" ref="Q2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3" s="6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25">
      <c r="A204" s="59">
        <v>198</v>
      </c>
      <c r="B204" s="137"/>
      <c r="C204" s="65" t="s">
        <v>246</v>
      </c>
      <c r="D204" s="56" t="s">
        <v>76</v>
      </c>
      <c r="E204" s="43" t="s">
        <v>892</v>
      </c>
      <c r="F204" s="65" t="s">
        <v>281</v>
      </c>
      <c r="G204" s="43"/>
      <c r="H204" s="60" t="s">
        <v>288</v>
      </c>
      <c r="I204" s="63" t="s">
        <v>897</v>
      </c>
      <c r="J204" s="63" t="s">
        <v>902</v>
      </c>
      <c r="K204" s="63"/>
      <c r="L204" s="63"/>
      <c r="M204" s="43" t="s">
        <v>24</v>
      </c>
      <c r="N204" s="43" t="s">
        <v>251</v>
      </c>
      <c r="O204" s="57">
        <v>45717</v>
      </c>
      <c r="P204" s="57">
        <v>46082</v>
      </c>
      <c r="Q204" s="57" t="str" cm="1">
        <f t="array" aca="1" ref="Q2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4" s="6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25">
      <c r="A205" s="59">
        <v>199</v>
      </c>
      <c r="B205" s="137"/>
      <c r="C205" s="65" t="s">
        <v>246</v>
      </c>
      <c r="D205" s="56" t="s">
        <v>76</v>
      </c>
      <c r="E205" s="43" t="s">
        <v>893</v>
      </c>
      <c r="F205" s="65" t="s">
        <v>281</v>
      </c>
      <c r="G205" s="43"/>
      <c r="H205" s="60" t="s">
        <v>288</v>
      </c>
      <c r="I205" s="63" t="s">
        <v>897</v>
      </c>
      <c r="J205" s="63" t="s">
        <v>903</v>
      </c>
      <c r="K205" s="63"/>
      <c r="L205" s="63"/>
      <c r="M205" s="43" t="s">
        <v>24</v>
      </c>
      <c r="N205" s="43" t="s">
        <v>251</v>
      </c>
      <c r="O205" s="57">
        <v>45717</v>
      </c>
      <c r="P205" s="57">
        <v>46082</v>
      </c>
      <c r="Q205" s="57" t="str" cm="1">
        <f t="array" aca="1" ref="Q2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5" s="6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25">
      <c r="A206" s="59">
        <v>200</v>
      </c>
      <c r="B206" s="137"/>
      <c r="C206" s="65" t="s">
        <v>246</v>
      </c>
      <c r="D206" s="56" t="s">
        <v>76</v>
      </c>
      <c r="E206" s="43" t="s">
        <v>894</v>
      </c>
      <c r="F206" s="65" t="s">
        <v>281</v>
      </c>
      <c r="G206" s="43"/>
      <c r="H206" s="60" t="s">
        <v>288</v>
      </c>
      <c r="I206" s="63" t="s">
        <v>897</v>
      </c>
      <c r="J206" s="63" t="s">
        <v>904</v>
      </c>
      <c r="K206" s="63"/>
      <c r="L206" s="63"/>
      <c r="M206" s="43" t="s">
        <v>24</v>
      </c>
      <c r="N206" s="43" t="s">
        <v>251</v>
      </c>
      <c r="O206" s="57">
        <v>45717</v>
      </c>
      <c r="P206" s="57">
        <v>46082</v>
      </c>
      <c r="Q206" s="57" t="str" cm="1">
        <f t="array" aca="1" ref="Q2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6" s="6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25">
      <c r="A207" s="59">
        <v>201</v>
      </c>
      <c r="B207" s="137"/>
      <c r="C207" s="65" t="s">
        <v>246</v>
      </c>
      <c r="D207" s="56" t="s">
        <v>76</v>
      </c>
      <c r="E207" s="43" t="s">
        <v>895</v>
      </c>
      <c r="F207" s="65" t="s">
        <v>281</v>
      </c>
      <c r="G207" s="43"/>
      <c r="H207" s="60" t="s">
        <v>288</v>
      </c>
      <c r="I207" s="63" t="s">
        <v>897</v>
      </c>
      <c r="J207" s="63" t="s">
        <v>905</v>
      </c>
      <c r="K207" s="63"/>
      <c r="L207" s="63"/>
      <c r="M207" s="43" t="s">
        <v>24</v>
      </c>
      <c r="N207" s="43" t="s">
        <v>251</v>
      </c>
      <c r="O207" s="57">
        <v>45717</v>
      </c>
      <c r="P207" s="57">
        <v>46082</v>
      </c>
      <c r="Q207" s="57" t="str" cm="1">
        <f t="array" aca="1" ref="Q2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7" s="6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25">
      <c r="A208" s="59">
        <v>202</v>
      </c>
      <c r="B208" s="137"/>
      <c r="C208" s="65" t="s">
        <v>246</v>
      </c>
      <c r="D208" s="56" t="s">
        <v>76</v>
      </c>
      <c r="E208" s="43" t="s">
        <v>896</v>
      </c>
      <c r="F208" s="65" t="s">
        <v>281</v>
      </c>
      <c r="G208" s="43"/>
      <c r="H208" s="60" t="s">
        <v>288</v>
      </c>
      <c r="I208" s="63" t="s">
        <v>897</v>
      </c>
      <c r="J208" s="63" t="s">
        <v>906</v>
      </c>
      <c r="K208" s="63"/>
      <c r="L208" s="63"/>
      <c r="M208" s="43" t="s">
        <v>24</v>
      </c>
      <c r="N208" s="43" t="s">
        <v>251</v>
      </c>
      <c r="O208" s="57">
        <v>45717</v>
      </c>
      <c r="P208" s="57">
        <v>46082</v>
      </c>
      <c r="Q208" s="57" t="str" cm="1">
        <f t="array" aca="1" ref="Q2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8" s="6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idden="1" x14ac:dyDescent="0.25">
      <c r="A209" s="59">
        <v>203</v>
      </c>
      <c r="B209" s="56"/>
      <c r="C209" s="65" t="s">
        <v>292</v>
      </c>
      <c r="D209" s="56" t="s">
        <v>76</v>
      </c>
      <c r="E209" s="43" t="s">
        <v>1208</v>
      </c>
      <c r="F209" s="63" t="s">
        <v>293</v>
      </c>
      <c r="G209" s="63" t="s">
        <v>1151</v>
      </c>
      <c r="H209" s="69" t="s">
        <v>1152</v>
      </c>
      <c r="I209" s="65" t="s">
        <v>1195</v>
      </c>
      <c r="J209" s="65" t="s">
        <v>1149</v>
      </c>
      <c r="K209" s="65"/>
      <c r="L209" s="65"/>
      <c r="M209" s="56" t="s">
        <v>24</v>
      </c>
      <c r="N209" s="56" t="s">
        <v>141</v>
      </c>
      <c r="O209" s="57">
        <v>46158</v>
      </c>
      <c r="P209" s="57" t="str" cm="1">
        <f t="array" aca="1" ref="P2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09" s="57" t="str" cm="1">
        <f t="array" aca="1" ref="Q2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09" s="61" t="s">
        <v>1150</v>
      </c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40.5" hidden="1" customHeight="1" x14ac:dyDescent="0.25">
      <c r="A210" s="59">
        <v>204</v>
      </c>
      <c r="B210" s="56"/>
      <c r="C210" s="65" t="s">
        <v>292</v>
      </c>
      <c r="D210" s="56" t="s">
        <v>76</v>
      </c>
      <c r="E210" s="43" t="s">
        <v>1209</v>
      </c>
      <c r="F210" s="63" t="s">
        <v>293</v>
      </c>
      <c r="G210" s="63" t="s">
        <v>1151</v>
      </c>
      <c r="H210" s="69" t="s">
        <v>1152</v>
      </c>
      <c r="I210" s="65" t="s">
        <v>1195</v>
      </c>
      <c r="J210" s="65" t="s">
        <v>23</v>
      </c>
      <c r="K210" s="65"/>
      <c r="L210" s="65"/>
      <c r="M210" s="56" t="s">
        <v>24</v>
      </c>
      <c r="N210" s="56" t="s">
        <v>141</v>
      </c>
      <c r="O210" s="57">
        <v>46158</v>
      </c>
      <c r="P210" s="57" t="str" cm="1">
        <f t="array" aca="1" ref="P2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0" s="57" t="str" cm="1">
        <f t="array" aca="1" ref="Q2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0" s="61" t="s">
        <v>1150</v>
      </c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40.5" hidden="1" customHeight="1" x14ac:dyDescent="0.25">
      <c r="A211" s="59">
        <v>205</v>
      </c>
      <c r="B211" s="138"/>
      <c r="C211" s="65" t="s">
        <v>292</v>
      </c>
      <c r="D211" s="56" t="s">
        <v>76</v>
      </c>
      <c r="E211" s="43"/>
      <c r="F211" s="65" t="s">
        <v>293</v>
      </c>
      <c r="G211" s="63" t="s">
        <v>294</v>
      </c>
      <c r="H211" s="69" t="s">
        <v>295</v>
      </c>
      <c r="I211" s="65" t="s">
        <v>296</v>
      </c>
      <c r="J211" s="65" t="s">
        <v>23</v>
      </c>
      <c r="K211" s="65"/>
      <c r="L211" s="65"/>
      <c r="M211" s="56" t="s">
        <v>24</v>
      </c>
      <c r="N211" s="56" t="s">
        <v>141</v>
      </c>
      <c r="O211" s="57">
        <v>45760</v>
      </c>
      <c r="P211" s="57" t="str" cm="1">
        <f t="array" aca="1" ref="P2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1" s="57" t="str" cm="1">
        <f t="array" aca="1" ref="Q2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1" s="61" t="s">
        <v>1052</v>
      </c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40.5" hidden="1" customHeight="1" x14ac:dyDescent="0.25">
      <c r="A212" s="59">
        <v>206</v>
      </c>
      <c r="B212" s="138"/>
      <c r="C212" s="65" t="s">
        <v>292</v>
      </c>
      <c r="D212" s="56" t="s">
        <v>76</v>
      </c>
      <c r="E212" s="43"/>
      <c r="F212" s="63" t="s">
        <v>1197</v>
      </c>
      <c r="G212" s="65" t="s">
        <v>297</v>
      </c>
      <c r="H212" s="69" t="s">
        <v>298</v>
      </c>
      <c r="I212" s="65" t="s">
        <v>299</v>
      </c>
      <c r="J212" s="65" t="s">
        <v>23</v>
      </c>
      <c r="K212" s="65"/>
      <c r="L212" s="65"/>
      <c r="M212" s="56" t="s">
        <v>24</v>
      </c>
      <c r="N212" s="56" t="s">
        <v>141</v>
      </c>
      <c r="O212" s="57">
        <v>45728</v>
      </c>
      <c r="P212" s="57" t="str" cm="1">
        <f t="array" aca="1" ref="P2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2" s="57" t="str" cm="1">
        <f t="array" aca="1" ref="Q2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2" s="61" t="s">
        <v>1196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40.5" hidden="1" customHeight="1" x14ac:dyDescent="0.25">
      <c r="A213" s="59">
        <v>207</v>
      </c>
      <c r="B213" s="56"/>
      <c r="C213" s="65" t="s">
        <v>292</v>
      </c>
      <c r="D213" s="56" t="s">
        <v>76</v>
      </c>
      <c r="E213" s="43"/>
      <c r="F213" s="63" t="s">
        <v>1199</v>
      </c>
      <c r="G213" s="63" t="s">
        <v>1201</v>
      </c>
      <c r="H213" s="69" t="s">
        <v>1202</v>
      </c>
      <c r="I213" s="65" t="s">
        <v>1205</v>
      </c>
      <c r="J213" s="65" t="s">
        <v>23</v>
      </c>
      <c r="K213" s="65"/>
      <c r="L213" s="65"/>
      <c r="M213" s="56" t="s">
        <v>24</v>
      </c>
      <c r="N213" s="56" t="s">
        <v>141</v>
      </c>
      <c r="O213" s="57">
        <v>46158</v>
      </c>
      <c r="P213" s="57" t="str" cm="1">
        <f t="array" aca="1" ref="P2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3" s="57" t="str" cm="1">
        <f t="array" aca="1" ref="Q2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3" s="6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40.5" hidden="1" customHeight="1" x14ac:dyDescent="0.25">
      <c r="A214" s="59">
        <v>208</v>
      </c>
      <c r="B214" s="138"/>
      <c r="C214" s="65" t="s">
        <v>292</v>
      </c>
      <c r="D214" s="56" t="s">
        <v>76</v>
      </c>
      <c r="E214" s="43"/>
      <c r="F214" s="63" t="s">
        <v>1198</v>
      </c>
      <c r="G214" s="63" t="s">
        <v>300</v>
      </c>
      <c r="H214" s="69" t="s">
        <v>298</v>
      </c>
      <c r="I214" s="65" t="s">
        <v>301</v>
      </c>
      <c r="J214" s="65" t="s">
        <v>23</v>
      </c>
      <c r="K214" s="65"/>
      <c r="L214" s="65"/>
      <c r="M214" s="56" t="s">
        <v>24</v>
      </c>
      <c r="N214" s="56" t="s">
        <v>141</v>
      </c>
      <c r="O214" s="57">
        <v>45728</v>
      </c>
      <c r="P214" s="57" t="str" cm="1">
        <f t="array" aca="1" ref="P2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4" s="57" t="str" cm="1">
        <f t="array" aca="1" ref="Q2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4" s="61" t="s">
        <v>1196</v>
      </c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25.5" hidden="1" customHeight="1" x14ac:dyDescent="0.25">
      <c r="A215" s="59">
        <v>209</v>
      </c>
      <c r="B215" s="56"/>
      <c r="C215" s="65" t="s">
        <v>292</v>
      </c>
      <c r="D215" s="56" t="s">
        <v>76</v>
      </c>
      <c r="E215" s="43"/>
      <c r="F215" s="63" t="s">
        <v>1200</v>
      </c>
      <c r="G215" s="63" t="s">
        <v>1203</v>
      </c>
      <c r="H215" s="69" t="s">
        <v>1202</v>
      </c>
      <c r="I215" s="110" t="s">
        <v>1204</v>
      </c>
      <c r="J215" s="65" t="s">
        <v>23</v>
      </c>
      <c r="K215" s="65"/>
      <c r="L215" s="65"/>
      <c r="M215" s="56" t="s">
        <v>24</v>
      </c>
      <c r="N215" s="56" t="s">
        <v>141</v>
      </c>
      <c r="O215" s="57">
        <v>46158</v>
      </c>
      <c r="P215" s="57" t="str" cm="1">
        <f t="array" aca="1" ref="P2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5" s="57" t="str" cm="1">
        <f t="array" aca="1" ref="Q2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5" s="6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21.75" hidden="1" customHeight="1" x14ac:dyDescent="0.25">
      <c r="A216" s="59">
        <v>210</v>
      </c>
      <c r="B216" s="56"/>
      <c r="C216" s="65" t="s">
        <v>292</v>
      </c>
      <c r="D216" s="56" t="s">
        <v>76</v>
      </c>
      <c r="E216" s="43" t="s">
        <v>964</v>
      </c>
      <c r="F216" s="65" t="s">
        <v>965</v>
      </c>
      <c r="G216" s="43"/>
      <c r="H216" s="60" t="s">
        <v>967</v>
      </c>
      <c r="I216" s="63" t="s">
        <v>966</v>
      </c>
      <c r="J216" s="63" t="s">
        <v>23</v>
      </c>
      <c r="K216" s="63"/>
      <c r="L216" s="63"/>
      <c r="M216" s="43" t="s">
        <v>83</v>
      </c>
      <c r="N216" s="43" t="s">
        <v>141</v>
      </c>
      <c r="O216" s="57">
        <v>46092</v>
      </c>
      <c r="P216" s="57">
        <v>46275</v>
      </c>
      <c r="Q216" s="57" t="str" cm="1">
        <f t="array" aca="1" ref="Q2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6" s="6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2.75" hidden="1" customHeight="1" x14ac:dyDescent="0.25">
      <c r="A217" s="59">
        <v>211</v>
      </c>
      <c r="B217" s="137"/>
      <c r="C217" s="65" t="s">
        <v>292</v>
      </c>
      <c r="D217" s="56" t="s">
        <v>33</v>
      </c>
      <c r="E217" s="43" t="s">
        <v>302</v>
      </c>
      <c r="F217" s="65" t="s">
        <v>303</v>
      </c>
      <c r="G217" s="43" t="s">
        <v>304</v>
      </c>
      <c r="H217" s="69" t="s">
        <v>305</v>
      </c>
      <c r="I217" s="65" t="s">
        <v>306</v>
      </c>
      <c r="J217" s="65" t="s">
        <v>23</v>
      </c>
      <c r="K217" s="65"/>
      <c r="L217" s="65"/>
      <c r="M217" s="56" t="s">
        <v>24</v>
      </c>
      <c r="N217" s="56" t="s">
        <v>141</v>
      </c>
      <c r="O217" s="57">
        <v>45693</v>
      </c>
      <c r="P217" s="57" t="str" cm="1">
        <f t="array" aca="1" ref="P2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7" s="57" t="str" cm="1">
        <f t="array" aca="1" ref="Q2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7" s="71" t="s">
        <v>89</v>
      </c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24" hidden="1" x14ac:dyDescent="0.25">
      <c r="A218" s="59">
        <v>212</v>
      </c>
      <c r="B218" s="137"/>
      <c r="C218" s="65" t="s">
        <v>292</v>
      </c>
      <c r="D218" s="56" t="s">
        <v>33</v>
      </c>
      <c r="E218" s="43" t="s">
        <v>1050</v>
      </c>
      <c r="F218" s="65" t="s">
        <v>303</v>
      </c>
      <c r="G218" s="43" t="s">
        <v>304</v>
      </c>
      <c r="H218" s="69" t="s">
        <v>305</v>
      </c>
      <c r="I218" s="65" t="s">
        <v>306</v>
      </c>
      <c r="J218" s="65" t="s">
        <v>23</v>
      </c>
      <c r="K218" s="65"/>
      <c r="L218" s="65"/>
      <c r="M218" s="56" t="s">
        <v>24</v>
      </c>
      <c r="N218" s="56" t="s">
        <v>141</v>
      </c>
      <c r="O218" s="57">
        <v>45693</v>
      </c>
      <c r="P218" s="57" t="str" cm="1">
        <f t="array" aca="1" ref="P2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8" s="57" t="str" cm="1">
        <f t="array" aca="1" ref="Q2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8" s="70" t="s">
        <v>89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idden="1" x14ac:dyDescent="0.25">
      <c r="A219" s="59">
        <v>213</v>
      </c>
      <c r="B219" s="137"/>
      <c r="C219" s="65" t="s">
        <v>292</v>
      </c>
      <c r="D219" s="56" t="s">
        <v>76</v>
      </c>
      <c r="E219" s="43" t="s">
        <v>307</v>
      </c>
      <c r="F219" s="65" t="s">
        <v>303</v>
      </c>
      <c r="G219" s="56" t="s">
        <v>304</v>
      </c>
      <c r="H219" s="69" t="s">
        <v>305</v>
      </c>
      <c r="I219" s="65" t="s">
        <v>308</v>
      </c>
      <c r="J219" s="65" t="s">
        <v>23</v>
      </c>
      <c r="K219" s="65"/>
      <c r="L219" s="65"/>
      <c r="M219" s="56" t="s">
        <v>24</v>
      </c>
      <c r="N219" s="56" t="s">
        <v>141</v>
      </c>
      <c r="O219" s="57">
        <v>45735</v>
      </c>
      <c r="P219" s="57" t="str" cm="1">
        <f t="array" aca="1" ref="P2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19" s="57" t="str" cm="1">
        <f t="array" aca="1" ref="Q2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19" s="70" t="s">
        <v>309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74.25" hidden="1" customHeight="1" x14ac:dyDescent="0.25">
      <c r="A220" s="59">
        <v>214</v>
      </c>
      <c r="B220" s="137"/>
      <c r="C220" s="65" t="s">
        <v>292</v>
      </c>
      <c r="D220" s="56" t="s">
        <v>76</v>
      </c>
      <c r="E220" s="43" t="s">
        <v>943</v>
      </c>
      <c r="F220" s="65" t="s">
        <v>303</v>
      </c>
      <c r="G220" s="43" t="s">
        <v>310</v>
      </c>
      <c r="H220" s="60" t="s">
        <v>311</v>
      </c>
      <c r="I220" s="63" t="s">
        <v>312</v>
      </c>
      <c r="J220" s="63" t="s">
        <v>23</v>
      </c>
      <c r="K220" s="63"/>
      <c r="L220" s="63"/>
      <c r="M220" s="43" t="s">
        <v>24</v>
      </c>
      <c r="N220" s="43" t="s">
        <v>141</v>
      </c>
      <c r="O220" s="57">
        <v>45572</v>
      </c>
      <c r="P220" s="57" t="str" cm="1">
        <f t="array" aca="1" ref="P2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0" s="57" t="str" cm="1">
        <f t="array" aca="1" ref="Q2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0" s="61" t="s">
        <v>716</v>
      </c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87" hidden="1" customHeight="1" x14ac:dyDescent="0.25">
      <c r="A221" s="59">
        <v>215</v>
      </c>
      <c r="B221" s="65"/>
      <c r="C221" s="65" t="s">
        <v>292</v>
      </c>
      <c r="D221" s="56" t="s">
        <v>76</v>
      </c>
      <c r="E221" s="43" t="s">
        <v>944</v>
      </c>
      <c r="F221" s="65" t="s">
        <v>303</v>
      </c>
      <c r="G221" s="56" t="s">
        <v>313</v>
      </c>
      <c r="H221" s="60" t="s">
        <v>305</v>
      </c>
      <c r="I221" s="63" t="s">
        <v>308</v>
      </c>
      <c r="J221" s="63" t="s">
        <v>23</v>
      </c>
      <c r="K221" s="63"/>
      <c r="L221" s="63"/>
      <c r="M221" s="43" t="s">
        <v>83</v>
      </c>
      <c r="N221" s="43" t="s">
        <v>141</v>
      </c>
      <c r="O221" s="57">
        <v>46092</v>
      </c>
      <c r="P221" s="57" t="str" cm="1">
        <f t="array" aca="1" ref="P2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1" s="57" t="str" cm="1">
        <f t="array" aca="1" ref="Q2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1" s="61" t="s">
        <v>806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37.5" hidden="1" customHeight="1" x14ac:dyDescent="0.25">
      <c r="A222" s="59">
        <v>216</v>
      </c>
      <c r="B222" s="65"/>
      <c r="C222" s="65" t="s">
        <v>292</v>
      </c>
      <c r="D222" s="56" t="s">
        <v>76</v>
      </c>
      <c r="E222" s="43" t="s">
        <v>945</v>
      </c>
      <c r="F222" s="65" t="s">
        <v>303</v>
      </c>
      <c r="G222" s="43" t="s">
        <v>314</v>
      </c>
      <c r="H222" s="60" t="s">
        <v>315</v>
      </c>
      <c r="I222" s="63" t="s">
        <v>306</v>
      </c>
      <c r="J222" s="63" t="s">
        <v>23</v>
      </c>
      <c r="K222" s="63"/>
      <c r="L222" s="63"/>
      <c r="M222" s="43" t="s">
        <v>24</v>
      </c>
      <c r="N222" s="43" t="s">
        <v>141</v>
      </c>
      <c r="O222" s="57">
        <v>46092</v>
      </c>
      <c r="P222" s="57" t="str" cm="1">
        <f t="array" aca="1" ref="P2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2" s="57" t="str" cm="1">
        <f t="array" aca="1" ref="Q2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2" s="62" t="s">
        <v>316</v>
      </c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29.25" hidden="1" customHeight="1" x14ac:dyDescent="0.25">
      <c r="A223" s="59">
        <v>217</v>
      </c>
      <c r="B223" s="65"/>
      <c r="C223" s="65" t="s">
        <v>292</v>
      </c>
      <c r="D223" s="56" t="s">
        <v>76</v>
      </c>
      <c r="E223" s="43" t="s">
        <v>946</v>
      </c>
      <c r="F223" s="65" t="s">
        <v>303</v>
      </c>
      <c r="G223" s="43">
        <v>19092000250</v>
      </c>
      <c r="H223" s="60" t="s">
        <v>317</v>
      </c>
      <c r="I223" s="63" t="s">
        <v>318</v>
      </c>
      <c r="J223" s="63" t="s">
        <v>23</v>
      </c>
      <c r="K223" s="63"/>
      <c r="L223" s="63"/>
      <c r="M223" s="43" t="s">
        <v>24</v>
      </c>
      <c r="N223" s="43" t="s">
        <v>141</v>
      </c>
      <c r="O223" s="57">
        <v>46092</v>
      </c>
      <c r="P223" s="57" t="str" cm="1">
        <f t="array" aca="1" ref="P2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3" s="57" t="str" cm="1">
        <f t="array" aca="1" ref="Q2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3" s="6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22.15" hidden="1" customHeight="1" x14ac:dyDescent="0.25">
      <c r="A224" s="59">
        <v>218</v>
      </c>
      <c r="B224" s="65"/>
      <c r="C224" s="65" t="s">
        <v>292</v>
      </c>
      <c r="D224" s="56" t="s">
        <v>76</v>
      </c>
      <c r="E224" s="43" t="s">
        <v>947</v>
      </c>
      <c r="F224" s="65" t="s">
        <v>303</v>
      </c>
      <c r="G224" s="43">
        <v>19092000250</v>
      </c>
      <c r="H224" s="60" t="s">
        <v>317</v>
      </c>
      <c r="I224" s="63" t="s">
        <v>318</v>
      </c>
      <c r="J224" s="63" t="s">
        <v>23</v>
      </c>
      <c r="K224" s="63"/>
      <c r="L224" s="63"/>
      <c r="M224" s="43" t="s">
        <v>24</v>
      </c>
      <c r="N224" s="43" t="s">
        <v>141</v>
      </c>
      <c r="O224" s="57">
        <v>46092</v>
      </c>
      <c r="P224" s="57" t="str" cm="1">
        <f t="array" aca="1" ref="P2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4" s="57" t="str" cm="1">
        <f t="array" aca="1" ref="Q2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4" s="6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30" hidden="1" customHeight="1" x14ac:dyDescent="0.25">
      <c r="A225" s="59">
        <v>219</v>
      </c>
      <c r="B225" s="65"/>
      <c r="C225" s="65" t="s">
        <v>292</v>
      </c>
      <c r="D225" s="56" t="s">
        <v>76</v>
      </c>
      <c r="E225" s="43" t="s">
        <v>948</v>
      </c>
      <c r="F225" s="65" t="s">
        <v>303</v>
      </c>
      <c r="G225" s="43">
        <v>19092000250</v>
      </c>
      <c r="H225" s="60" t="s">
        <v>317</v>
      </c>
      <c r="I225" s="63" t="s">
        <v>318</v>
      </c>
      <c r="J225" s="63" t="s">
        <v>23</v>
      </c>
      <c r="K225" s="63"/>
      <c r="L225" s="63"/>
      <c r="M225" s="43" t="s">
        <v>24</v>
      </c>
      <c r="N225" s="43" t="s">
        <v>141</v>
      </c>
      <c r="O225" s="57">
        <v>46092</v>
      </c>
      <c r="P225" s="57" t="str" cm="1">
        <f t="array" aca="1" ref="P2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5" s="57" t="str" cm="1">
        <f t="array" aca="1" ref="Q2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5" s="61" t="s">
        <v>319</v>
      </c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2.75" hidden="1" customHeight="1" x14ac:dyDescent="0.25">
      <c r="A226" s="59">
        <v>220</v>
      </c>
      <c r="B226" s="65"/>
      <c r="C226" s="65" t="s">
        <v>292</v>
      </c>
      <c r="D226" s="56" t="s">
        <v>76</v>
      </c>
      <c r="E226" s="43" t="s">
        <v>955</v>
      </c>
      <c r="F226" s="65" t="s">
        <v>327</v>
      </c>
      <c r="G226" s="43"/>
      <c r="H226" s="60" t="s">
        <v>328</v>
      </c>
      <c r="I226" s="63" t="s">
        <v>318</v>
      </c>
      <c r="J226" s="63" t="s">
        <v>23</v>
      </c>
      <c r="K226" s="63"/>
      <c r="L226" s="63"/>
      <c r="M226" s="43" t="s">
        <v>24</v>
      </c>
      <c r="N226" s="43" t="s">
        <v>141</v>
      </c>
      <c r="O226" s="57">
        <v>45926</v>
      </c>
      <c r="P226" s="57" t="str" cm="1">
        <f t="array" aca="1" ref="P2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6" s="57" t="str" cm="1">
        <f t="array" aca="1" ref="Q2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6" s="6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24" hidden="1" x14ac:dyDescent="0.25">
      <c r="A227" s="59">
        <v>221</v>
      </c>
      <c r="B227" s="65"/>
      <c r="C227" s="65" t="s">
        <v>292</v>
      </c>
      <c r="D227" s="56" t="s">
        <v>76</v>
      </c>
      <c r="E227" s="43" t="s">
        <v>949</v>
      </c>
      <c r="F227" s="63" t="s">
        <v>303</v>
      </c>
      <c r="G227" s="43">
        <v>19092000250</v>
      </c>
      <c r="H227" s="60" t="s">
        <v>317</v>
      </c>
      <c r="I227" s="63" t="s">
        <v>318</v>
      </c>
      <c r="J227" s="63" t="s">
        <v>23</v>
      </c>
      <c r="K227" s="63"/>
      <c r="L227" s="63"/>
      <c r="M227" s="43" t="s">
        <v>24</v>
      </c>
      <c r="N227" s="43" t="s">
        <v>141</v>
      </c>
      <c r="O227" s="57">
        <v>45926</v>
      </c>
      <c r="P227" s="57" t="str" cm="1">
        <f t="array" aca="1" ref="P2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7" s="57" t="str" cm="1">
        <f t="array" aca="1" ref="Q2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7" s="6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24" hidden="1" x14ac:dyDescent="0.25">
      <c r="A228" s="59">
        <v>222</v>
      </c>
      <c r="B228" s="65"/>
      <c r="C228" s="65" t="s">
        <v>292</v>
      </c>
      <c r="D228" s="56" t="s">
        <v>76</v>
      </c>
      <c r="E228" s="43" t="s">
        <v>950</v>
      </c>
      <c r="F228" s="63" t="s">
        <v>303</v>
      </c>
      <c r="G228" s="43">
        <v>19092000250</v>
      </c>
      <c r="H228" s="60" t="s">
        <v>317</v>
      </c>
      <c r="I228" s="63" t="s">
        <v>318</v>
      </c>
      <c r="J228" s="63" t="s">
        <v>23</v>
      </c>
      <c r="K228" s="63"/>
      <c r="L228" s="63"/>
      <c r="M228" s="43" t="s">
        <v>24</v>
      </c>
      <c r="N228" s="43" t="s">
        <v>141</v>
      </c>
      <c r="O228" s="57">
        <v>45926</v>
      </c>
      <c r="P228" s="57" t="str" cm="1">
        <f t="array" aca="1" ref="P2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8" s="57" t="str" cm="1">
        <f t="array" aca="1" ref="Q2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8" s="6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24" hidden="1" x14ac:dyDescent="0.25">
      <c r="A229" s="59">
        <v>223</v>
      </c>
      <c r="B229" s="65"/>
      <c r="C229" s="65" t="s">
        <v>292</v>
      </c>
      <c r="D229" s="56" t="s">
        <v>76</v>
      </c>
      <c r="E229" s="43" t="s">
        <v>951</v>
      </c>
      <c r="F229" s="63" t="s">
        <v>303</v>
      </c>
      <c r="G229" s="43">
        <v>19092000250</v>
      </c>
      <c r="H229" s="60" t="s">
        <v>320</v>
      </c>
      <c r="I229" s="63" t="s">
        <v>318</v>
      </c>
      <c r="J229" s="63" t="s">
        <v>23</v>
      </c>
      <c r="K229" s="63"/>
      <c r="L229" s="63"/>
      <c r="M229" s="43" t="s">
        <v>24</v>
      </c>
      <c r="N229" s="43" t="s">
        <v>141</v>
      </c>
      <c r="O229" s="57">
        <v>45926</v>
      </c>
      <c r="P229" s="57" t="str" cm="1">
        <f t="array" aca="1" ref="P2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29" s="57" t="str" cm="1">
        <f t="array" aca="1" ref="Q2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29" s="6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25.15" hidden="1" customHeight="1" x14ac:dyDescent="0.25">
      <c r="A230" s="59">
        <v>224</v>
      </c>
      <c r="B230" s="65"/>
      <c r="C230" s="65" t="s">
        <v>292</v>
      </c>
      <c r="D230" s="56" t="s">
        <v>76</v>
      </c>
      <c r="E230" s="43" t="s">
        <v>952</v>
      </c>
      <c r="F230" s="63" t="s">
        <v>321</v>
      </c>
      <c r="G230" s="43">
        <v>19092000250</v>
      </c>
      <c r="H230" s="60" t="s">
        <v>322</v>
      </c>
      <c r="I230" s="63" t="s">
        <v>318</v>
      </c>
      <c r="J230" s="63" t="s">
        <v>23</v>
      </c>
      <c r="K230" s="63"/>
      <c r="L230" s="63"/>
      <c r="M230" s="43" t="s">
        <v>24</v>
      </c>
      <c r="N230" s="43" t="s">
        <v>141</v>
      </c>
      <c r="O230" s="57">
        <v>46133</v>
      </c>
      <c r="P230" s="57" t="str" cm="1">
        <f t="array" aca="1" ref="P2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0" s="57" t="str" cm="1">
        <f t="array" aca="1" ref="Q2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0" s="6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30" hidden="1" customHeight="1" x14ac:dyDescent="0.25">
      <c r="A231" s="59">
        <v>225</v>
      </c>
      <c r="B231" s="65"/>
      <c r="C231" s="65" t="s">
        <v>292</v>
      </c>
      <c r="D231" s="56" t="s">
        <v>76</v>
      </c>
      <c r="E231" s="43" t="s">
        <v>953</v>
      </c>
      <c r="F231" s="63" t="s">
        <v>321</v>
      </c>
      <c r="G231" s="43">
        <v>19092000250</v>
      </c>
      <c r="H231" s="60" t="s">
        <v>322</v>
      </c>
      <c r="I231" s="63" t="s">
        <v>318</v>
      </c>
      <c r="J231" s="63" t="s">
        <v>23</v>
      </c>
      <c r="K231" s="63"/>
      <c r="L231" s="63"/>
      <c r="M231" s="43" t="s">
        <v>24</v>
      </c>
      <c r="N231" s="43" t="s">
        <v>141</v>
      </c>
      <c r="O231" s="57">
        <v>46134</v>
      </c>
      <c r="P231" s="57" t="str" cm="1">
        <f t="array" aca="1" ref="P2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1" s="57" t="str" cm="1">
        <f t="array" aca="1" ref="Q2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1" s="6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idden="1" x14ac:dyDescent="0.25">
      <c r="A232" s="59">
        <v>226</v>
      </c>
      <c r="B232" s="65"/>
      <c r="C232" s="65" t="s">
        <v>292</v>
      </c>
      <c r="D232" s="56" t="s">
        <v>76</v>
      </c>
      <c r="E232" s="43" t="s">
        <v>954</v>
      </c>
      <c r="F232" s="63" t="s">
        <v>321</v>
      </c>
      <c r="G232" s="43">
        <v>19092000250</v>
      </c>
      <c r="H232" s="60" t="s">
        <v>322</v>
      </c>
      <c r="I232" s="63" t="s">
        <v>318</v>
      </c>
      <c r="J232" s="63" t="s">
        <v>23</v>
      </c>
      <c r="K232" s="63"/>
      <c r="L232" s="63"/>
      <c r="M232" s="43" t="s">
        <v>24</v>
      </c>
      <c r="N232" s="43" t="s">
        <v>141</v>
      </c>
      <c r="O232" s="57">
        <v>46135</v>
      </c>
      <c r="P232" s="57" t="str" cm="1">
        <f t="array" aca="1" ref="P2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2" s="57" t="str" cm="1">
        <f t="array" aca="1" ref="Q2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2" s="6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idden="1" x14ac:dyDescent="0.25">
      <c r="A233" s="59">
        <v>227</v>
      </c>
      <c r="B233" s="65"/>
      <c r="C233" s="65" t="s">
        <v>292</v>
      </c>
      <c r="D233" s="56" t="s">
        <v>76</v>
      </c>
      <c r="E233" s="43" t="s">
        <v>1028</v>
      </c>
      <c r="F233" s="63" t="s">
        <v>303</v>
      </c>
      <c r="G233" s="43" t="s">
        <v>378</v>
      </c>
      <c r="H233" s="60" t="s">
        <v>1033</v>
      </c>
      <c r="I233" s="63" t="s">
        <v>1035</v>
      </c>
      <c r="J233" s="63" t="s">
        <v>1030</v>
      </c>
      <c r="K233" s="63"/>
      <c r="L233" s="63"/>
      <c r="M233" s="43" t="s">
        <v>24</v>
      </c>
      <c r="N233" s="43" t="s">
        <v>141</v>
      </c>
      <c r="O233" s="57">
        <v>46098</v>
      </c>
      <c r="P233" s="57" t="str" cm="1">
        <f t="array" aca="1" ref="P2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3" s="57" t="str" cm="1">
        <f t="array" aca="1" ref="Q2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3" s="6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idden="1" x14ac:dyDescent="0.25">
      <c r="A234" s="59">
        <v>228</v>
      </c>
      <c r="B234" s="65"/>
      <c r="C234" s="65" t="s">
        <v>292</v>
      </c>
      <c r="D234" s="56" t="s">
        <v>76</v>
      </c>
      <c r="E234" s="43" t="s">
        <v>1029</v>
      </c>
      <c r="F234" s="63" t="s">
        <v>303</v>
      </c>
      <c r="G234" s="43" t="s">
        <v>378</v>
      </c>
      <c r="H234" s="60" t="s">
        <v>1034</v>
      </c>
      <c r="I234" s="63" t="s">
        <v>1035</v>
      </c>
      <c r="J234" s="63" t="s">
        <v>1030</v>
      </c>
      <c r="K234" s="63"/>
      <c r="L234" s="63"/>
      <c r="M234" s="43" t="s">
        <v>24</v>
      </c>
      <c r="N234" s="43" t="s">
        <v>141</v>
      </c>
      <c r="O234" s="57">
        <v>46098</v>
      </c>
      <c r="P234" s="57" t="str" cm="1">
        <f t="array" aca="1" ref="P2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4" s="57" t="str" cm="1">
        <f t="array" aca="1" ref="Q2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4" s="6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2.75" hidden="1" customHeight="1" x14ac:dyDescent="0.25">
      <c r="A235" s="59">
        <v>229</v>
      </c>
      <c r="B235" s="65"/>
      <c r="C235" s="65" t="s">
        <v>292</v>
      </c>
      <c r="D235" s="56" t="s">
        <v>76</v>
      </c>
      <c r="E235" s="43" t="s">
        <v>1158</v>
      </c>
      <c r="F235" s="63" t="s">
        <v>1159</v>
      </c>
      <c r="G235" s="43" t="s">
        <v>378</v>
      </c>
      <c r="H235" s="60" t="s">
        <v>1161</v>
      </c>
      <c r="I235" s="63" t="s">
        <v>1160</v>
      </c>
      <c r="J235" s="63" t="s">
        <v>23</v>
      </c>
      <c r="K235" s="63"/>
      <c r="L235" s="63"/>
      <c r="M235" s="63" t="s">
        <v>24</v>
      </c>
      <c r="N235" s="43" t="s">
        <v>141</v>
      </c>
      <c r="O235" s="57">
        <v>46147</v>
      </c>
      <c r="P235" s="57" t="str" cm="1">
        <f t="array" aca="1" ref="P2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5" s="57" t="str" cm="1">
        <f t="array" aca="1" ref="Q2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5" s="6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2.75" hidden="1" customHeight="1" x14ac:dyDescent="0.25">
      <c r="A236" s="59">
        <v>230</v>
      </c>
      <c r="B236" s="65"/>
      <c r="C236" s="65" t="s">
        <v>292</v>
      </c>
      <c r="D236" s="56" t="s">
        <v>76</v>
      </c>
      <c r="E236" s="43" t="s">
        <v>1210</v>
      </c>
      <c r="F236" s="63" t="s">
        <v>1211</v>
      </c>
      <c r="G236" s="43"/>
      <c r="H236" s="60" t="s">
        <v>1212</v>
      </c>
      <c r="I236" s="63" t="s">
        <v>1213</v>
      </c>
      <c r="J236" s="63" t="s">
        <v>23</v>
      </c>
      <c r="K236" s="63"/>
      <c r="L236" s="63"/>
      <c r="M236" s="63" t="s">
        <v>24</v>
      </c>
      <c r="N236" s="43" t="s">
        <v>141</v>
      </c>
      <c r="O236" s="57">
        <v>46164</v>
      </c>
      <c r="P236" s="57" t="str" cm="1">
        <f t="array" aca="1" ref="P2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6" s="57" t="str" cm="1">
        <f t="array" aca="1" ref="Q2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6" s="6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2.75" hidden="1" customHeight="1" x14ac:dyDescent="0.25">
      <c r="A237" s="59">
        <v>231</v>
      </c>
      <c r="B237" s="65"/>
      <c r="C237" s="65" t="s">
        <v>292</v>
      </c>
      <c r="D237" s="56" t="s">
        <v>76</v>
      </c>
      <c r="E237" s="43" t="s">
        <v>1339</v>
      </c>
      <c r="F237" s="63" t="s">
        <v>321</v>
      </c>
      <c r="G237" s="43">
        <v>19092000250</v>
      </c>
      <c r="H237" s="60" t="s">
        <v>322</v>
      </c>
      <c r="I237" s="63" t="s">
        <v>318</v>
      </c>
      <c r="J237" s="63" t="s">
        <v>23</v>
      </c>
      <c r="K237" s="63"/>
      <c r="L237" s="63"/>
      <c r="M237" s="63" t="s">
        <v>24</v>
      </c>
      <c r="N237" s="43" t="s">
        <v>141</v>
      </c>
      <c r="O237" s="57">
        <v>46196</v>
      </c>
      <c r="P237" s="57" t="str" cm="1">
        <f t="array" aca="1" ref="P2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7" s="57" t="str" cm="1">
        <f t="array" aca="1" ref="Q2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7" s="6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idden="1" x14ac:dyDescent="0.25">
      <c r="A238" s="59">
        <v>232</v>
      </c>
      <c r="B238" s="65"/>
      <c r="C238" s="65" t="s">
        <v>292</v>
      </c>
      <c r="D238" s="56" t="s">
        <v>76</v>
      </c>
      <c r="E238" s="43" t="s">
        <v>1340</v>
      </c>
      <c r="F238" s="63" t="s">
        <v>321</v>
      </c>
      <c r="G238" s="43">
        <v>19092000250</v>
      </c>
      <c r="H238" s="60" t="s">
        <v>322</v>
      </c>
      <c r="I238" s="63" t="s">
        <v>318</v>
      </c>
      <c r="J238" s="63" t="s">
        <v>23</v>
      </c>
      <c r="K238" s="63"/>
      <c r="L238" s="63"/>
      <c r="M238" s="63" t="s">
        <v>24</v>
      </c>
      <c r="N238" s="43" t="s">
        <v>141</v>
      </c>
      <c r="O238" s="57">
        <v>46197</v>
      </c>
      <c r="P238" s="57" t="str" cm="1">
        <f t="array" aca="1" ref="P2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8" s="57" t="str" cm="1">
        <f t="array" aca="1" ref="Q2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8" s="6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idden="1" x14ac:dyDescent="0.25">
      <c r="A239" s="59">
        <v>233</v>
      </c>
      <c r="B239" s="65"/>
      <c r="C239" s="65" t="s">
        <v>292</v>
      </c>
      <c r="D239" s="56" t="s">
        <v>76</v>
      </c>
      <c r="E239" s="43" t="s">
        <v>1341</v>
      </c>
      <c r="F239" s="63" t="s">
        <v>321</v>
      </c>
      <c r="G239" s="43">
        <v>19092000250</v>
      </c>
      <c r="H239" s="60" t="s">
        <v>322</v>
      </c>
      <c r="I239" s="63" t="s">
        <v>318</v>
      </c>
      <c r="J239" s="63" t="s">
        <v>23</v>
      </c>
      <c r="K239" s="63"/>
      <c r="L239" s="63"/>
      <c r="M239" s="63" t="s">
        <v>24</v>
      </c>
      <c r="N239" s="43" t="s">
        <v>141</v>
      </c>
      <c r="O239" s="57">
        <v>46198</v>
      </c>
      <c r="P239" s="57" t="str" cm="1">
        <f t="array" aca="1" ref="P2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39" s="57" t="str" cm="1">
        <f t="array" aca="1" ref="Q2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39" s="6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idden="1" x14ac:dyDescent="0.25">
      <c r="A240" s="59">
        <v>234</v>
      </c>
      <c r="B240" s="65"/>
      <c r="C240" s="65" t="s">
        <v>292</v>
      </c>
      <c r="D240" s="56" t="s">
        <v>76</v>
      </c>
      <c r="E240" s="43" t="s">
        <v>1342</v>
      </c>
      <c r="F240" s="63" t="s">
        <v>321</v>
      </c>
      <c r="G240" s="43">
        <v>19092000250</v>
      </c>
      <c r="H240" s="60" t="s">
        <v>322</v>
      </c>
      <c r="I240" s="63" t="s">
        <v>318</v>
      </c>
      <c r="J240" s="63" t="s">
        <v>23</v>
      </c>
      <c r="K240" s="63"/>
      <c r="L240" s="63"/>
      <c r="M240" s="63" t="s">
        <v>24</v>
      </c>
      <c r="N240" s="43" t="s">
        <v>141</v>
      </c>
      <c r="O240" s="57">
        <v>46199</v>
      </c>
      <c r="P240" s="57" t="str" cm="1">
        <f t="array" aca="1" ref="P2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0" s="57" t="str" cm="1">
        <f t="array" aca="1" ref="Q2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0" s="6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idden="1" x14ac:dyDescent="0.25">
      <c r="A241" s="59">
        <v>235</v>
      </c>
      <c r="B241" s="65"/>
      <c r="C241" s="65" t="s">
        <v>292</v>
      </c>
      <c r="D241" s="56" t="s">
        <v>76</v>
      </c>
      <c r="E241" s="43" t="s">
        <v>1343</v>
      </c>
      <c r="F241" s="63" t="s">
        <v>321</v>
      </c>
      <c r="G241" s="43">
        <v>19092000250</v>
      </c>
      <c r="H241" s="60" t="s">
        <v>322</v>
      </c>
      <c r="I241" s="63" t="s">
        <v>318</v>
      </c>
      <c r="J241" s="63" t="s">
        <v>23</v>
      </c>
      <c r="K241" s="63"/>
      <c r="L241" s="63"/>
      <c r="M241" s="63" t="s">
        <v>24</v>
      </c>
      <c r="N241" s="43" t="s">
        <v>141</v>
      </c>
      <c r="O241" s="57">
        <v>46200</v>
      </c>
      <c r="P241" s="57" t="str" cm="1">
        <f t="array" aca="1" ref="P2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1" s="57" t="str" cm="1">
        <f t="array" aca="1" ref="Q2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1" s="6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idden="1" x14ac:dyDescent="0.25">
      <c r="A242" s="59">
        <v>236</v>
      </c>
      <c r="B242" s="65"/>
      <c r="C242" s="65" t="s">
        <v>292</v>
      </c>
      <c r="D242" s="56" t="s">
        <v>76</v>
      </c>
      <c r="E242" s="43" t="s">
        <v>1344</v>
      </c>
      <c r="F242" s="63" t="s">
        <v>321</v>
      </c>
      <c r="G242" s="43">
        <v>19092000250</v>
      </c>
      <c r="H242" s="60" t="s">
        <v>322</v>
      </c>
      <c r="I242" s="63" t="s">
        <v>318</v>
      </c>
      <c r="J242" s="63" t="s">
        <v>23</v>
      </c>
      <c r="K242" s="63"/>
      <c r="L242" s="63"/>
      <c r="M242" s="63" t="s">
        <v>24</v>
      </c>
      <c r="N242" s="43" t="s">
        <v>141</v>
      </c>
      <c r="O242" s="57">
        <v>46201</v>
      </c>
      <c r="P242" s="57" t="str" cm="1">
        <f t="array" aca="1" ref="P2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2" s="57" t="str" cm="1">
        <f t="array" aca="1" ref="Q2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2" s="6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2.75" hidden="1" customHeight="1" x14ac:dyDescent="0.25">
      <c r="A243" s="59">
        <v>237</v>
      </c>
      <c r="B243" s="65"/>
      <c r="C243" s="65" t="s">
        <v>292</v>
      </c>
      <c r="D243" s="56" t="s">
        <v>76</v>
      </c>
      <c r="E243" s="43" t="s">
        <v>1345</v>
      </c>
      <c r="F243" s="63" t="s">
        <v>321</v>
      </c>
      <c r="G243" s="43">
        <v>19092000250</v>
      </c>
      <c r="H243" s="60" t="s">
        <v>322</v>
      </c>
      <c r="I243" s="63" t="s">
        <v>318</v>
      </c>
      <c r="J243" s="63" t="s">
        <v>23</v>
      </c>
      <c r="K243" s="63"/>
      <c r="L243" s="63"/>
      <c r="M243" s="63" t="s">
        <v>24</v>
      </c>
      <c r="N243" s="43" t="s">
        <v>141</v>
      </c>
      <c r="O243" s="57">
        <v>46202</v>
      </c>
      <c r="P243" s="57" t="str" cm="1">
        <f t="array" aca="1" ref="P2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3" s="57" t="str" cm="1">
        <f t="array" aca="1" ref="Q2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3" s="6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2.75" hidden="1" customHeight="1" x14ac:dyDescent="0.25">
      <c r="A244" s="59">
        <v>238</v>
      </c>
      <c r="B244" s="65"/>
      <c r="C244" s="65" t="s">
        <v>292</v>
      </c>
      <c r="D244" s="56" t="s">
        <v>76</v>
      </c>
      <c r="E244" s="43" t="s">
        <v>1346</v>
      </c>
      <c r="F244" s="63" t="s">
        <v>321</v>
      </c>
      <c r="G244" s="43">
        <v>19092000250</v>
      </c>
      <c r="H244" s="60" t="s">
        <v>322</v>
      </c>
      <c r="I244" s="63" t="s">
        <v>318</v>
      </c>
      <c r="J244" s="63" t="s">
        <v>23</v>
      </c>
      <c r="K244" s="63"/>
      <c r="L244" s="63"/>
      <c r="M244" s="63" t="s">
        <v>24</v>
      </c>
      <c r="N244" s="43" t="s">
        <v>141</v>
      </c>
      <c r="O244" s="57">
        <v>46203</v>
      </c>
      <c r="P244" s="57" t="str" cm="1">
        <f t="array" aca="1" ref="P2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4" s="57" t="str" cm="1">
        <f t="array" aca="1" ref="Q2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4" s="6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s="144" customFormat="1" ht="12.75" hidden="1" customHeight="1" x14ac:dyDescent="0.25">
      <c r="A245" s="59">
        <v>239</v>
      </c>
      <c r="B245" s="138"/>
      <c r="C245" s="65" t="s">
        <v>292</v>
      </c>
      <c r="D245" s="56" t="s">
        <v>76</v>
      </c>
      <c r="E245" s="43"/>
      <c r="F245" s="63" t="s">
        <v>323</v>
      </c>
      <c r="G245" s="43" t="s">
        <v>324</v>
      </c>
      <c r="H245" s="60" t="s">
        <v>88</v>
      </c>
      <c r="I245" s="63" t="s">
        <v>325</v>
      </c>
      <c r="J245" s="63" t="s">
        <v>23</v>
      </c>
      <c r="K245" s="63"/>
      <c r="L245" s="63"/>
      <c r="M245" s="63" t="s">
        <v>24</v>
      </c>
      <c r="N245" s="43" t="s">
        <v>141</v>
      </c>
      <c r="O245" s="57">
        <v>45395</v>
      </c>
      <c r="P245" s="57" t="str" cm="1">
        <f t="array" aca="1" ref="P2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5" s="57" t="str" cm="1">
        <f t="array" aca="1" ref="Q2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5" s="61" t="s">
        <v>326</v>
      </c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</row>
    <row r="246" spans="1:28" ht="36.75" hidden="1" customHeight="1" x14ac:dyDescent="0.25">
      <c r="A246" s="59">
        <v>240</v>
      </c>
      <c r="B246" s="138"/>
      <c r="C246" s="65" t="s">
        <v>292</v>
      </c>
      <c r="D246" s="56" t="s">
        <v>76</v>
      </c>
      <c r="E246" s="43" t="s">
        <v>329</v>
      </c>
      <c r="F246" s="63" t="s">
        <v>330</v>
      </c>
      <c r="G246" s="43" t="s">
        <v>331</v>
      </c>
      <c r="H246" s="60" t="s">
        <v>332</v>
      </c>
      <c r="I246" s="63" t="s">
        <v>333</v>
      </c>
      <c r="J246" s="63" t="s">
        <v>23</v>
      </c>
      <c r="K246" s="63"/>
      <c r="L246" s="63"/>
      <c r="M246" s="43" t="s">
        <v>24</v>
      </c>
      <c r="N246" s="43" t="s">
        <v>141</v>
      </c>
      <c r="O246" s="57">
        <v>45399</v>
      </c>
      <c r="P246" s="57" t="str" cm="1">
        <f t="array" aca="1" ref="P2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6" s="57" t="str" cm="1">
        <f t="array" aca="1" ref="Q2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6" s="62" t="s">
        <v>89</v>
      </c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36.75" hidden="1" customHeight="1" x14ac:dyDescent="0.25">
      <c r="A247" s="59">
        <v>241</v>
      </c>
      <c r="B247" s="56"/>
      <c r="C247" s="65" t="s">
        <v>292</v>
      </c>
      <c r="D247" s="56" t="s">
        <v>76</v>
      </c>
      <c r="E247" s="43" t="s">
        <v>754</v>
      </c>
      <c r="F247" s="63" t="s">
        <v>764</v>
      </c>
      <c r="G247" s="43"/>
      <c r="H247" s="60" t="s">
        <v>334</v>
      </c>
      <c r="I247" s="63" t="s">
        <v>335</v>
      </c>
      <c r="J247" s="63" t="s">
        <v>23</v>
      </c>
      <c r="K247" s="63"/>
      <c r="L247" s="63"/>
      <c r="M247" s="43" t="s">
        <v>24</v>
      </c>
      <c r="N247" s="43" t="s">
        <v>141</v>
      </c>
      <c r="O247" s="57">
        <v>46050</v>
      </c>
      <c r="P247" s="57" t="str" cm="1">
        <f t="array" aca="1" ref="P2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7" s="57" t="str" cm="1">
        <f t="array" aca="1" ref="Q2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7" s="62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38.25" hidden="1" customHeight="1" x14ac:dyDescent="0.25">
      <c r="A248" s="59">
        <v>242</v>
      </c>
      <c r="B248" s="138"/>
      <c r="C248" s="65" t="s">
        <v>292</v>
      </c>
      <c r="D248" s="56" t="s">
        <v>76</v>
      </c>
      <c r="E248" s="43" t="s">
        <v>757</v>
      </c>
      <c r="F248" s="63" t="s">
        <v>753</v>
      </c>
      <c r="G248" s="43"/>
      <c r="H248" s="60" t="s">
        <v>334</v>
      </c>
      <c r="I248" s="63" t="s">
        <v>335</v>
      </c>
      <c r="J248" s="63" t="s">
        <v>23</v>
      </c>
      <c r="K248" s="63"/>
      <c r="L248" s="63"/>
      <c r="M248" s="43" t="s">
        <v>24</v>
      </c>
      <c r="N248" s="43" t="s">
        <v>141</v>
      </c>
      <c r="O248" s="57">
        <v>45693</v>
      </c>
      <c r="P248" s="57" t="str" cm="1">
        <f t="array" aca="1" ref="P2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8" s="57" t="str" cm="1">
        <f t="array" aca="1" ref="Q2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8" s="61" t="s">
        <v>743</v>
      </c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38.25" hidden="1" customHeight="1" x14ac:dyDescent="0.25">
      <c r="A249" s="59">
        <v>243</v>
      </c>
      <c r="B249" s="56"/>
      <c r="C249" s="65" t="s">
        <v>292</v>
      </c>
      <c r="D249" s="56" t="s">
        <v>76</v>
      </c>
      <c r="E249" s="43" t="s">
        <v>755</v>
      </c>
      <c r="F249" s="63" t="s">
        <v>763</v>
      </c>
      <c r="G249" s="43"/>
      <c r="H249" s="60" t="s">
        <v>334</v>
      </c>
      <c r="I249" s="63" t="s">
        <v>335</v>
      </c>
      <c r="J249" s="63" t="s">
        <v>23</v>
      </c>
      <c r="K249" s="63"/>
      <c r="L249" s="63"/>
      <c r="M249" s="43" t="s">
        <v>24</v>
      </c>
      <c r="N249" s="43" t="s">
        <v>141</v>
      </c>
      <c r="O249" s="57">
        <v>46050</v>
      </c>
      <c r="P249" s="57" t="str" cm="1">
        <f t="array" aca="1" ref="P2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49" s="57" t="str" cm="1">
        <f t="array" aca="1" ref="Q2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49" s="6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38.25" hidden="1" customHeight="1" x14ac:dyDescent="0.25">
      <c r="A250" s="59">
        <v>244</v>
      </c>
      <c r="B250" s="56"/>
      <c r="C250" s="65" t="s">
        <v>292</v>
      </c>
      <c r="D250" s="56" t="s">
        <v>76</v>
      </c>
      <c r="E250" s="43" t="s">
        <v>774</v>
      </c>
      <c r="F250" s="63" t="s">
        <v>765</v>
      </c>
      <c r="G250" s="43"/>
      <c r="H250" s="60" t="s">
        <v>334</v>
      </c>
      <c r="I250" s="63" t="s">
        <v>335</v>
      </c>
      <c r="J250" s="63" t="s">
        <v>23</v>
      </c>
      <c r="K250" s="63"/>
      <c r="L250" s="63"/>
      <c r="M250" s="43" t="s">
        <v>24</v>
      </c>
      <c r="N250" s="43" t="s">
        <v>141</v>
      </c>
      <c r="O250" s="57">
        <v>46051</v>
      </c>
      <c r="P250" s="57" t="str" cm="1">
        <f t="array" aca="1" ref="P2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0" s="57" t="str" cm="1">
        <f t="array" aca="1" ref="Q2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0" s="6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38.25" hidden="1" customHeight="1" x14ac:dyDescent="0.25">
      <c r="A251" s="59">
        <v>245</v>
      </c>
      <c r="B251" s="56"/>
      <c r="C251" s="65" t="s">
        <v>292</v>
      </c>
      <c r="D251" s="56" t="s">
        <v>76</v>
      </c>
      <c r="E251" s="43" t="s">
        <v>758</v>
      </c>
      <c r="F251" s="63" t="s">
        <v>766</v>
      </c>
      <c r="G251" s="43"/>
      <c r="H251" s="60" t="s">
        <v>334</v>
      </c>
      <c r="I251" s="63" t="s">
        <v>335</v>
      </c>
      <c r="J251" s="63" t="s">
        <v>23</v>
      </c>
      <c r="K251" s="63"/>
      <c r="L251" s="63"/>
      <c r="M251" s="43" t="s">
        <v>24</v>
      </c>
      <c r="N251" s="43" t="s">
        <v>141</v>
      </c>
      <c r="O251" s="57">
        <v>46052</v>
      </c>
      <c r="P251" s="57" t="str" cm="1">
        <f t="array" aca="1" ref="P2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1" s="57" t="str" cm="1">
        <f t="array" aca="1" ref="Q2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1" s="6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30" hidden="1" customHeight="1" x14ac:dyDescent="0.25">
      <c r="A252" s="59">
        <v>246</v>
      </c>
      <c r="B252" s="138"/>
      <c r="C252" s="65" t="s">
        <v>292</v>
      </c>
      <c r="D252" s="56" t="s">
        <v>76</v>
      </c>
      <c r="E252" s="43" t="s">
        <v>336</v>
      </c>
      <c r="F252" s="63" t="s">
        <v>337</v>
      </c>
      <c r="G252" s="56">
        <v>482438</v>
      </c>
      <c r="H252" s="60" t="s">
        <v>338</v>
      </c>
      <c r="I252" s="63" t="s">
        <v>339</v>
      </c>
      <c r="J252" s="63" t="s">
        <v>23</v>
      </c>
      <c r="K252" s="63"/>
      <c r="L252" s="63"/>
      <c r="M252" s="43" t="s">
        <v>24</v>
      </c>
      <c r="N252" s="43" t="s">
        <v>141</v>
      </c>
      <c r="O252" s="57">
        <v>45628</v>
      </c>
      <c r="P252" s="57" t="str" cm="1">
        <f t="array" aca="1" ref="P2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2" s="57" t="str" cm="1">
        <f t="array" aca="1" ref="Q2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2" s="62" t="s">
        <v>340</v>
      </c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30" hidden="1" customHeight="1" x14ac:dyDescent="0.25">
      <c r="A253" s="59">
        <v>247</v>
      </c>
      <c r="B253" s="56"/>
      <c r="C253" s="65" t="s">
        <v>292</v>
      </c>
      <c r="D253" s="56" t="s">
        <v>76</v>
      </c>
      <c r="E253" s="43" t="s">
        <v>341</v>
      </c>
      <c r="F253" s="63" t="s">
        <v>342</v>
      </c>
      <c r="G253" s="43" t="s">
        <v>343</v>
      </c>
      <c r="H253" s="60" t="s">
        <v>344</v>
      </c>
      <c r="I253" s="63" t="s">
        <v>345</v>
      </c>
      <c r="J253" s="63" t="s">
        <v>23</v>
      </c>
      <c r="K253" s="63"/>
      <c r="L253" s="63"/>
      <c r="M253" s="43" t="s">
        <v>24</v>
      </c>
      <c r="N253" s="43" t="s">
        <v>141</v>
      </c>
      <c r="O253" s="57">
        <v>46133</v>
      </c>
      <c r="P253" s="57" t="str" cm="1">
        <f t="array" aca="1" ref="P2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3" s="57" t="str" cm="1">
        <f t="array" aca="1" ref="Q2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3" s="6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30" hidden="1" customHeight="1" x14ac:dyDescent="0.25">
      <c r="A254" s="59">
        <v>248</v>
      </c>
      <c r="B254" s="56"/>
      <c r="C254" s="65" t="s">
        <v>292</v>
      </c>
      <c r="D254" s="56" t="s">
        <v>76</v>
      </c>
      <c r="E254" s="43" t="s">
        <v>349</v>
      </c>
      <c r="F254" s="63" t="s">
        <v>350</v>
      </c>
      <c r="G254" s="43" t="s">
        <v>351</v>
      </c>
      <c r="H254" s="60" t="s">
        <v>352</v>
      </c>
      <c r="I254" s="63" t="s">
        <v>353</v>
      </c>
      <c r="J254" s="63" t="s">
        <v>23</v>
      </c>
      <c r="K254" s="63"/>
      <c r="L254" s="63"/>
      <c r="M254" s="43" t="s">
        <v>24</v>
      </c>
      <c r="N254" s="43" t="s">
        <v>141</v>
      </c>
      <c r="O254" s="57">
        <v>45996</v>
      </c>
      <c r="P254" s="57" t="str" cm="1">
        <f t="array" aca="1" ref="P2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4" s="57" t="str" cm="1">
        <f t="array" aca="1" ref="Q2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4" s="62" t="s">
        <v>636</v>
      </c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37.5" hidden="1" customHeight="1" x14ac:dyDescent="0.25">
      <c r="A255" s="59">
        <v>249</v>
      </c>
      <c r="B255" s="56"/>
      <c r="C255" s="65" t="s">
        <v>292</v>
      </c>
      <c r="D255" s="56" t="s">
        <v>76</v>
      </c>
      <c r="E255" s="43" t="s">
        <v>775</v>
      </c>
      <c r="F255" s="63" t="s">
        <v>354</v>
      </c>
      <c r="G255" s="43" t="s">
        <v>776</v>
      </c>
      <c r="H255" s="60" t="s">
        <v>338</v>
      </c>
      <c r="I255" s="63" t="s">
        <v>355</v>
      </c>
      <c r="J255" s="63" t="s">
        <v>23</v>
      </c>
      <c r="K255" s="63"/>
      <c r="L255" s="63"/>
      <c r="M255" s="43" t="s">
        <v>24</v>
      </c>
      <c r="N255" s="43" t="s">
        <v>141</v>
      </c>
      <c r="O255" s="57">
        <v>46050</v>
      </c>
      <c r="P255" s="57" t="str" cm="1">
        <f t="array" aca="1" ref="P2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5" s="57" t="str" cm="1">
        <f t="array" aca="1" ref="Q2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5" s="62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37.5" hidden="1" customHeight="1" x14ac:dyDescent="0.25">
      <c r="A256" s="59">
        <v>250</v>
      </c>
      <c r="B256" s="138"/>
      <c r="C256" s="65" t="s">
        <v>292</v>
      </c>
      <c r="D256" s="56" t="s">
        <v>76</v>
      </c>
      <c r="E256" s="43" t="s">
        <v>777</v>
      </c>
      <c r="F256" s="63" t="s">
        <v>354</v>
      </c>
      <c r="G256" s="73" t="s">
        <v>778</v>
      </c>
      <c r="H256" s="60" t="s">
        <v>338</v>
      </c>
      <c r="I256" s="63" t="s">
        <v>355</v>
      </c>
      <c r="J256" s="63" t="s">
        <v>23</v>
      </c>
      <c r="K256" s="63"/>
      <c r="L256" s="63"/>
      <c r="M256" s="43" t="s">
        <v>24</v>
      </c>
      <c r="N256" s="43" t="s">
        <v>141</v>
      </c>
      <c r="O256" s="57">
        <v>45715</v>
      </c>
      <c r="P256" s="57" t="str" cm="1">
        <f t="array" aca="1" ref="P2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6" s="57" t="str" cm="1">
        <f t="array" aca="1" ref="Q2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6" s="62" t="s">
        <v>589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44.25" hidden="1" customHeight="1" x14ac:dyDescent="0.25">
      <c r="A257" s="59">
        <v>251</v>
      </c>
      <c r="B257" s="138"/>
      <c r="C257" s="65" t="s">
        <v>292</v>
      </c>
      <c r="D257" s="56" t="s">
        <v>76</v>
      </c>
      <c r="E257" s="43" t="s">
        <v>731</v>
      </c>
      <c r="F257" s="63" t="s">
        <v>356</v>
      </c>
      <c r="G257" s="43" t="s">
        <v>730</v>
      </c>
      <c r="H257" s="60" t="s">
        <v>344</v>
      </c>
      <c r="I257" s="63" t="s">
        <v>357</v>
      </c>
      <c r="J257" s="63" t="s">
        <v>23</v>
      </c>
      <c r="K257" s="63"/>
      <c r="L257" s="63"/>
      <c r="M257" s="43" t="s">
        <v>24</v>
      </c>
      <c r="N257" s="43" t="s">
        <v>141</v>
      </c>
      <c r="O257" s="57">
        <v>45715</v>
      </c>
      <c r="P257" s="57" t="str" cm="1">
        <f t="array" aca="1" ref="P2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7" s="57" t="str" cm="1">
        <f t="array" aca="1" ref="Q2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7" s="61" t="s">
        <v>744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30" hidden="1" customHeight="1" x14ac:dyDescent="0.25">
      <c r="A258" s="59">
        <v>252</v>
      </c>
      <c r="B258" s="56"/>
      <c r="C258" s="65" t="s">
        <v>292</v>
      </c>
      <c r="D258" s="56" t="s">
        <v>76</v>
      </c>
      <c r="E258" s="43" t="s">
        <v>732</v>
      </c>
      <c r="F258" s="63" t="s">
        <v>356</v>
      </c>
      <c r="G258" s="43">
        <v>92508</v>
      </c>
      <c r="H258" s="60" t="s">
        <v>344</v>
      </c>
      <c r="I258" s="63" t="s">
        <v>357</v>
      </c>
      <c r="J258" s="63" t="s">
        <v>721</v>
      </c>
      <c r="K258" s="63"/>
      <c r="L258" s="63"/>
      <c r="M258" s="43" t="s">
        <v>24</v>
      </c>
      <c r="N258" s="43" t="s">
        <v>141</v>
      </c>
      <c r="O258" s="57">
        <v>46001</v>
      </c>
      <c r="P258" s="57" t="str" cm="1">
        <f t="array" aca="1" ref="P2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8" s="57" t="str" cm="1">
        <f t="array" aca="1" ref="Q2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8" s="6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30" hidden="1" customHeight="1" x14ac:dyDescent="0.25">
      <c r="A259" s="59">
        <v>253</v>
      </c>
      <c r="B259" s="56"/>
      <c r="C259" s="65" t="s">
        <v>292</v>
      </c>
      <c r="D259" s="56" t="s">
        <v>76</v>
      </c>
      <c r="E259" s="43" t="s">
        <v>733</v>
      </c>
      <c r="F259" s="63" t="s">
        <v>356</v>
      </c>
      <c r="G259" s="43">
        <v>92509</v>
      </c>
      <c r="H259" s="60" t="s">
        <v>344</v>
      </c>
      <c r="I259" s="63" t="s">
        <v>357</v>
      </c>
      <c r="J259" s="63" t="s">
        <v>721</v>
      </c>
      <c r="K259" s="63"/>
      <c r="L259" s="63"/>
      <c r="M259" s="43" t="s">
        <v>24</v>
      </c>
      <c r="N259" s="43" t="s">
        <v>141</v>
      </c>
      <c r="O259" s="57">
        <v>46001</v>
      </c>
      <c r="P259" s="57" t="str" cm="1">
        <f t="array" aca="1" ref="P2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59" s="57" t="str" cm="1">
        <f t="array" aca="1" ref="Q2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59" s="6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39.75" hidden="1" customHeight="1" x14ac:dyDescent="0.25">
      <c r="A260" s="59">
        <v>254</v>
      </c>
      <c r="B260" s="56"/>
      <c r="C260" s="65" t="s">
        <v>292</v>
      </c>
      <c r="D260" s="56" t="s">
        <v>76</v>
      </c>
      <c r="E260" s="43" t="s">
        <v>358</v>
      </c>
      <c r="F260" s="63" t="s">
        <v>359</v>
      </c>
      <c r="G260" s="43">
        <v>92512</v>
      </c>
      <c r="H260" s="60" t="s">
        <v>360</v>
      </c>
      <c r="I260" s="63" t="s">
        <v>361</v>
      </c>
      <c r="J260" s="63" t="s">
        <v>23</v>
      </c>
      <c r="K260" s="63"/>
      <c r="L260" s="63"/>
      <c r="M260" s="43" t="s">
        <v>24</v>
      </c>
      <c r="N260" s="43" t="s">
        <v>141</v>
      </c>
      <c r="O260" s="57">
        <v>46050</v>
      </c>
      <c r="P260" s="57" t="str" cm="1">
        <f t="array" aca="1" ref="P2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0" s="57" t="str" cm="1">
        <f t="array" aca="1" ref="Q2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0" s="6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35.25" hidden="1" customHeight="1" x14ac:dyDescent="0.25">
      <c r="A261" s="59">
        <v>255</v>
      </c>
      <c r="B261" s="56"/>
      <c r="C261" s="65" t="s">
        <v>292</v>
      </c>
      <c r="D261" s="56" t="s">
        <v>76</v>
      </c>
      <c r="E261" s="43" t="s">
        <v>362</v>
      </c>
      <c r="F261" s="63" t="s">
        <v>363</v>
      </c>
      <c r="G261" s="43">
        <v>452408</v>
      </c>
      <c r="H261" s="60" t="s">
        <v>364</v>
      </c>
      <c r="I261" s="63" t="s">
        <v>361</v>
      </c>
      <c r="J261" s="63" t="s">
        <v>23</v>
      </c>
      <c r="K261" s="63"/>
      <c r="L261" s="63"/>
      <c r="M261" s="43" t="s">
        <v>24</v>
      </c>
      <c r="N261" s="43" t="s">
        <v>141</v>
      </c>
      <c r="O261" s="57">
        <v>46050</v>
      </c>
      <c r="P261" s="57" t="str" cm="1">
        <f t="array" aca="1" ref="P2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1" s="57" t="str" cm="1">
        <f t="array" aca="1" ref="Q2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1" s="6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36.75" hidden="1" customHeight="1" x14ac:dyDescent="0.25">
      <c r="A262" s="59">
        <v>256</v>
      </c>
      <c r="B262" s="138"/>
      <c r="C262" s="65" t="s">
        <v>292</v>
      </c>
      <c r="D262" s="56" t="s">
        <v>76</v>
      </c>
      <c r="E262" s="43" t="s">
        <v>1110</v>
      </c>
      <c r="F262" s="63" t="s">
        <v>373</v>
      </c>
      <c r="G262" s="43" t="s">
        <v>374</v>
      </c>
      <c r="H262" s="43"/>
      <c r="I262" s="63" t="s">
        <v>375</v>
      </c>
      <c r="J262" s="63" t="s">
        <v>23</v>
      </c>
      <c r="K262" s="63"/>
      <c r="L262" s="63"/>
      <c r="M262" s="43" t="s">
        <v>24</v>
      </c>
      <c r="N262" s="43" t="s">
        <v>141</v>
      </c>
      <c r="O262" s="57">
        <v>45764</v>
      </c>
      <c r="P262" s="57" t="str" cm="1">
        <f t="array" aca="1" ref="P2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2" s="57" t="str" cm="1">
        <f t="array" aca="1" ref="Q2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2" s="61" t="s">
        <v>588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39.75" hidden="1" customHeight="1" x14ac:dyDescent="0.25">
      <c r="A263" s="59">
        <v>257</v>
      </c>
      <c r="B263" s="56"/>
      <c r="C263" s="65" t="s">
        <v>292</v>
      </c>
      <c r="D263" s="56" t="s">
        <v>76</v>
      </c>
      <c r="E263" s="43" t="s">
        <v>1111</v>
      </c>
      <c r="F263" s="63" t="s">
        <v>1112</v>
      </c>
      <c r="G263" s="43" t="s">
        <v>1113</v>
      </c>
      <c r="H263" s="43"/>
      <c r="I263" s="63" t="s">
        <v>375</v>
      </c>
      <c r="J263" s="63" t="s">
        <v>23</v>
      </c>
      <c r="K263" s="63"/>
      <c r="L263" s="63"/>
      <c r="M263" s="43" t="s">
        <v>24</v>
      </c>
      <c r="N263" s="43" t="s">
        <v>141</v>
      </c>
      <c r="O263" s="57">
        <v>46133</v>
      </c>
      <c r="P263" s="57" t="str" cm="1">
        <f t="array" aca="1" ref="P2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3" s="57" t="str" cm="1">
        <f t="array" aca="1" ref="Q2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3" s="61" t="s">
        <v>1114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39.75" hidden="1" customHeight="1" x14ac:dyDescent="0.25">
      <c r="A264" s="59">
        <v>258</v>
      </c>
      <c r="B264" s="56"/>
      <c r="C264" s="65" t="s">
        <v>292</v>
      </c>
      <c r="D264" s="56" t="s">
        <v>76</v>
      </c>
      <c r="E264" s="43" t="s">
        <v>376</v>
      </c>
      <c r="F264" s="63" t="s">
        <v>377</v>
      </c>
      <c r="G264" s="43" t="s">
        <v>378</v>
      </c>
      <c r="H264" s="60" t="s">
        <v>379</v>
      </c>
      <c r="I264" s="63" t="s">
        <v>380</v>
      </c>
      <c r="J264" s="63" t="s">
        <v>23</v>
      </c>
      <c r="K264" s="63"/>
      <c r="L264" s="63"/>
      <c r="M264" s="43" t="s">
        <v>24</v>
      </c>
      <c r="N264" s="43" t="s">
        <v>141</v>
      </c>
      <c r="O264" s="57">
        <v>45952</v>
      </c>
      <c r="P264" s="57" t="str" cm="1">
        <f t="array" aca="1" ref="P2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4" s="57" t="str" cm="1">
        <f t="array" aca="1" ref="Q2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4" s="61" t="s">
        <v>381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30" hidden="1" customHeight="1" x14ac:dyDescent="0.25">
      <c r="A265" s="59">
        <v>259</v>
      </c>
      <c r="B265" s="138"/>
      <c r="C265" s="65" t="s">
        <v>292</v>
      </c>
      <c r="D265" s="56" t="s">
        <v>33</v>
      </c>
      <c r="E265" s="43" t="s">
        <v>611</v>
      </c>
      <c r="F265" s="63" t="s">
        <v>346</v>
      </c>
      <c r="G265" s="43">
        <v>382403</v>
      </c>
      <c r="H265" s="60" t="s">
        <v>347</v>
      </c>
      <c r="I265" s="63" t="s">
        <v>348</v>
      </c>
      <c r="J265" s="63" t="s">
        <v>23</v>
      </c>
      <c r="K265" s="63"/>
      <c r="L265" s="63"/>
      <c r="M265" s="43" t="s">
        <v>24</v>
      </c>
      <c r="N265" s="43" t="s">
        <v>141</v>
      </c>
      <c r="O265" s="57">
        <v>45629</v>
      </c>
      <c r="P265" s="57" t="str" cm="1">
        <f t="array" aca="1" ref="P2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5" s="57" t="str" cm="1">
        <f t="array" aca="1" ref="Q2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5" s="62" t="s">
        <v>89</v>
      </c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30" hidden="1" customHeight="1" x14ac:dyDescent="0.25">
      <c r="A266" s="59">
        <v>260</v>
      </c>
      <c r="B266" s="56"/>
      <c r="C266" s="65" t="s">
        <v>292</v>
      </c>
      <c r="D266" s="56" t="s">
        <v>76</v>
      </c>
      <c r="E266" s="43" t="s">
        <v>612</v>
      </c>
      <c r="F266" s="63" t="s">
        <v>620</v>
      </c>
      <c r="G266" s="43">
        <v>52414</v>
      </c>
      <c r="H266" s="60" t="s">
        <v>370</v>
      </c>
      <c r="I266" s="63" t="s">
        <v>617</v>
      </c>
      <c r="J266" s="63" t="s">
        <v>448</v>
      </c>
      <c r="K266" s="63"/>
      <c r="L266" s="63"/>
      <c r="M266" s="43" t="s">
        <v>24</v>
      </c>
      <c r="N266" s="43" t="s">
        <v>141</v>
      </c>
      <c r="O266" s="57">
        <v>45994</v>
      </c>
      <c r="P266" s="57" t="str" cm="1">
        <f t="array" aca="1" ref="P2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6" s="57" t="str" cm="1">
        <f t="array" aca="1" ref="Q2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6" s="61" t="s">
        <v>721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37.5" hidden="1" customHeight="1" x14ac:dyDescent="0.25">
      <c r="A267" s="59">
        <v>261</v>
      </c>
      <c r="B267" s="56"/>
      <c r="C267" s="65" t="s">
        <v>292</v>
      </c>
      <c r="D267" s="56" t="s">
        <v>76</v>
      </c>
      <c r="E267" s="43" t="s">
        <v>613</v>
      </c>
      <c r="F267" s="63" t="s">
        <v>615</v>
      </c>
      <c r="G267" s="43" t="s">
        <v>616</v>
      </c>
      <c r="H267" s="60" t="s">
        <v>618</v>
      </c>
      <c r="I267" s="63" t="s">
        <v>617</v>
      </c>
      <c r="J267" s="63" t="s">
        <v>448</v>
      </c>
      <c r="K267" s="63"/>
      <c r="L267" s="63"/>
      <c r="M267" s="43" t="s">
        <v>24</v>
      </c>
      <c r="N267" s="43" t="s">
        <v>141</v>
      </c>
      <c r="O267" s="57">
        <v>45994</v>
      </c>
      <c r="P267" s="57" t="str" cm="1">
        <f t="array" aca="1" ref="P2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7" s="57" t="str" cm="1">
        <f t="array" aca="1" ref="Q2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7" s="61" t="s">
        <v>721</v>
      </c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30" hidden="1" customHeight="1" x14ac:dyDescent="0.25">
      <c r="A268" s="59">
        <v>262</v>
      </c>
      <c r="B268" s="138"/>
      <c r="C268" s="65" t="s">
        <v>292</v>
      </c>
      <c r="D268" s="56" t="s">
        <v>76</v>
      </c>
      <c r="E268" s="43" t="s">
        <v>621</v>
      </c>
      <c r="F268" s="63" t="s">
        <v>615</v>
      </c>
      <c r="G268" s="43" t="s">
        <v>622</v>
      </c>
      <c r="H268" s="60" t="s">
        <v>370</v>
      </c>
      <c r="I268" s="63" t="s">
        <v>617</v>
      </c>
      <c r="J268" s="63" t="s">
        <v>448</v>
      </c>
      <c r="K268" s="63"/>
      <c r="L268" s="63"/>
      <c r="M268" s="43" t="s">
        <v>24</v>
      </c>
      <c r="N268" s="43" t="s">
        <v>141</v>
      </c>
      <c r="O268" s="57"/>
      <c r="P268" s="57"/>
      <c r="Q268" s="57" t="str" cm="1">
        <f t="array" aca="1" ref="Q2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8" s="61" t="s">
        <v>619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30" hidden="1" customHeight="1" x14ac:dyDescent="0.25">
      <c r="A269" s="59">
        <v>263</v>
      </c>
      <c r="B269" s="56"/>
      <c r="C269" s="65" t="s">
        <v>292</v>
      </c>
      <c r="D269" s="56" t="s">
        <v>76</v>
      </c>
      <c r="E269" s="43" t="s">
        <v>623</v>
      </c>
      <c r="F269" s="63" t="s">
        <v>596</v>
      </c>
      <c r="G269" s="43" t="s">
        <v>598</v>
      </c>
      <c r="H269" s="60" t="s">
        <v>599</v>
      </c>
      <c r="I269" s="63" t="s">
        <v>361</v>
      </c>
      <c r="J269" s="63" t="s">
        <v>23</v>
      </c>
      <c r="K269" s="63"/>
      <c r="L269" s="63"/>
      <c r="M269" s="43" t="s">
        <v>24</v>
      </c>
      <c r="N269" s="43" t="s">
        <v>141</v>
      </c>
      <c r="O269" s="57">
        <v>45995</v>
      </c>
      <c r="P269" s="57" t="str" cm="1">
        <f t="array" aca="1" ref="P2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69" s="57" t="str" cm="1">
        <f t="array" aca="1" ref="Q2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69" s="6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30" hidden="1" customHeight="1" x14ac:dyDescent="0.25">
      <c r="A270" s="59">
        <v>264</v>
      </c>
      <c r="B270" s="56"/>
      <c r="C270" s="65" t="s">
        <v>292</v>
      </c>
      <c r="D270" s="56" t="s">
        <v>76</v>
      </c>
      <c r="E270" s="43" t="s">
        <v>614</v>
      </c>
      <c r="F270" s="63" t="s">
        <v>337</v>
      </c>
      <c r="G270" s="43" t="s">
        <v>597</v>
      </c>
      <c r="H270" s="60" t="s">
        <v>600</v>
      </c>
      <c r="I270" s="63" t="s">
        <v>601</v>
      </c>
      <c r="J270" s="63" t="s">
        <v>23</v>
      </c>
      <c r="K270" s="63"/>
      <c r="L270" s="63"/>
      <c r="M270" s="43" t="s">
        <v>24</v>
      </c>
      <c r="N270" s="43" t="s">
        <v>141</v>
      </c>
      <c r="O270" s="57">
        <v>45995</v>
      </c>
      <c r="P270" s="57" t="str" cm="1">
        <f t="array" aca="1" ref="P2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0" s="57" t="str" cm="1">
        <f t="array" aca="1" ref="Q2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0" s="6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30" hidden="1" customHeight="1" x14ac:dyDescent="0.25">
      <c r="A271" s="59">
        <v>265</v>
      </c>
      <c r="B271" s="56"/>
      <c r="C271" s="65" t="s">
        <v>292</v>
      </c>
      <c r="D271" s="56" t="s">
        <v>76</v>
      </c>
      <c r="E271" s="43" t="s">
        <v>643</v>
      </c>
      <c r="F271" s="63" t="s">
        <v>639</v>
      </c>
      <c r="G271" s="43" t="s">
        <v>640</v>
      </c>
      <c r="H271" s="60" t="s">
        <v>641</v>
      </c>
      <c r="I271" s="63" t="s">
        <v>642</v>
      </c>
      <c r="J271" s="63" t="s">
        <v>23</v>
      </c>
      <c r="K271" s="63"/>
      <c r="L271" s="63"/>
      <c r="M271" s="43" t="s">
        <v>24</v>
      </c>
      <c r="N271" s="43" t="s">
        <v>141</v>
      </c>
      <c r="O271" s="57">
        <v>45995</v>
      </c>
      <c r="P271" s="57" t="str" cm="1">
        <f t="array" aca="1" ref="P2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1" s="57" t="str" cm="1">
        <f t="array" aca="1" ref="Q2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1" s="6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30" hidden="1" customHeight="1" x14ac:dyDescent="0.25">
      <c r="A272" s="59">
        <v>266</v>
      </c>
      <c r="B272" s="56"/>
      <c r="C272" s="65" t="s">
        <v>292</v>
      </c>
      <c r="D272" s="56" t="s">
        <v>76</v>
      </c>
      <c r="E272" s="43" t="s">
        <v>646</v>
      </c>
      <c r="F272" s="63" t="s">
        <v>647</v>
      </c>
      <c r="G272" s="43">
        <v>472553</v>
      </c>
      <c r="H272" s="60" t="s">
        <v>648</v>
      </c>
      <c r="I272" s="63" t="s">
        <v>649</v>
      </c>
      <c r="J272" s="63" t="s">
        <v>23</v>
      </c>
      <c r="K272" s="63"/>
      <c r="L272" s="63"/>
      <c r="M272" s="43" t="s">
        <v>24</v>
      </c>
      <c r="N272" s="43" t="s">
        <v>141</v>
      </c>
      <c r="O272" s="57">
        <v>45999</v>
      </c>
      <c r="P272" s="57" t="str" cm="1">
        <f t="array" aca="1" ref="P2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2" s="57" t="str" cm="1">
        <f t="array" aca="1" ref="Q2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2" s="6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30" hidden="1" customHeight="1" x14ac:dyDescent="0.25">
      <c r="A273" s="59">
        <v>267</v>
      </c>
      <c r="B273" s="56"/>
      <c r="C273" s="65" t="s">
        <v>292</v>
      </c>
      <c r="D273" s="56" t="s">
        <v>76</v>
      </c>
      <c r="E273" s="43" t="s">
        <v>726</v>
      </c>
      <c r="F273" s="63" t="s">
        <v>342</v>
      </c>
      <c r="G273" s="43">
        <v>142412</v>
      </c>
      <c r="H273" s="60" t="s">
        <v>729</v>
      </c>
      <c r="I273" s="63" t="s">
        <v>728</v>
      </c>
      <c r="J273" s="63" t="s">
        <v>721</v>
      </c>
      <c r="K273" s="63"/>
      <c r="L273" s="63"/>
      <c r="M273" s="43" t="s">
        <v>24</v>
      </c>
      <c r="N273" s="43" t="s">
        <v>141</v>
      </c>
      <c r="O273" s="57">
        <v>46001</v>
      </c>
      <c r="P273" s="57" t="str" cm="1">
        <f t="array" aca="1" ref="P2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3" s="57" t="str" cm="1">
        <f t="array" aca="1" ref="Q2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3" s="6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30" hidden="1" customHeight="1" x14ac:dyDescent="0.25">
      <c r="A274" s="59">
        <v>268</v>
      </c>
      <c r="B274" s="138"/>
      <c r="C274" s="65" t="s">
        <v>292</v>
      </c>
      <c r="D274" s="56" t="s">
        <v>76</v>
      </c>
      <c r="E274" s="43" t="s">
        <v>727</v>
      </c>
      <c r="F274" s="63" t="s">
        <v>342</v>
      </c>
      <c r="G274" s="43">
        <v>142413</v>
      </c>
      <c r="H274" s="60" t="s">
        <v>729</v>
      </c>
      <c r="I274" s="63" t="s">
        <v>728</v>
      </c>
      <c r="J274" s="63" t="s">
        <v>721</v>
      </c>
      <c r="K274" s="63"/>
      <c r="L274" s="63"/>
      <c r="M274" s="43" t="s">
        <v>24</v>
      </c>
      <c r="N274" s="43" t="s">
        <v>141</v>
      </c>
      <c r="O274" s="57">
        <v>46001</v>
      </c>
      <c r="P274" s="57" t="str" cm="1">
        <f t="array" aca="1" ref="P2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4" s="57" t="str" cm="1">
        <f t="array" aca="1" ref="Q2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4" s="61" t="s">
        <v>619</v>
      </c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30" hidden="1" customHeight="1" x14ac:dyDescent="0.25">
      <c r="A275" s="59">
        <v>269</v>
      </c>
      <c r="B275" s="56"/>
      <c r="C275" s="65" t="s">
        <v>292</v>
      </c>
      <c r="D275" s="56" t="s">
        <v>76</v>
      </c>
      <c r="E275" s="43" t="s">
        <v>770</v>
      </c>
      <c r="F275" s="63" t="s">
        <v>1079</v>
      </c>
      <c r="G275" s="43">
        <v>472532</v>
      </c>
      <c r="H275" s="60" t="s">
        <v>729</v>
      </c>
      <c r="I275" s="63" t="s">
        <v>771</v>
      </c>
      <c r="J275" s="63" t="s">
        <v>23</v>
      </c>
      <c r="K275" s="63"/>
      <c r="L275" s="63"/>
      <c r="M275" s="43" t="s">
        <v>24</v>
      </c>
      <c r="N275" s="43" t="s">
        <v>141</v>
      </c>
      <c r="O275" s="57">
        <v>46052</v>
      </c>
      <c r="P275" s="57" t="str" cm="1">
        <f t="array" aca="1" ref="P2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5" s="57" t="str" cm="1">
        <f t="array" aca="1" ref="Q2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5" s="6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30" hidden="1" customHeight="1" x14ac:dyDescent="0.25">
      <c r="A276" s="59">
        <v>270</v>
      </c>
      <c r="B276" s="56"/>
      <c r="C276" s="65" t="s">
        <v>292</v>
      </c>
      <c r="D276" s="56" t="s">
        <v>76</v>
      </c>
      <c r="E276" s="43" t="s">
        <v>772</v>
      </c>
      <c r="F276" s="63" t="s">
        <v>1079</v>
      </c>
      <c r="G276" s="43">
        <v>472533</v>
      </c>
      <c r="H276" s="60" t="s">
        <v>729</v>
      </c>
      <c r="I276" s="63" t="s">
        <v>1293</v>
      </c>
      <c r="J276" s="63" t="s">
        <v>23</v>
      </c>
      <c r="K276" s="63"/>
      <c r="L276" s="63"/>
      <c r="M276" s="43" t="s">
        <v>24</v>
      </c>
      <c r="N276" s="43" t="s">
        <v>141</v>
      </c>
      <c r="O276" s="57">
        <v>46052</v>
      </c>
      <c r="P276" s="57" t="str" cm="1">
        <f t="array" aca="1" ref="P2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6" s="57" t="str" cm="1">
        <f t="array" aca="1" ref="Q2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6" s="6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30" hidden="1" customHeight="1" x14ac:dyDescent="0.25">
      <c r="A277" s="59">
        <v>271</v>
      </c>
      <c r="B277" s="56"/>
      <c r="C277" s="65" t="s">
        <v>292</v>
      </c>
      <c r="D277" s="56" t="s">
        <v>76</v>
      </c>
      <c r="E277" s="43" t="s">
        <v>1285</v>
      </c>
      <c r="F277" s="63" t="s">
        <v>1289</v>
      </c>
      <c r="G277" s="43">
        <v>482440</v>
      </c>
      <c r="H277" s="60" t="s">
        <v>1291</v>
      </c>
      <c r="I277" s="63" t="s">
        <v>773</v>
      </c>
      <c r="J277" s="63" t="s">
        <v>23</v>
      </c>
      <c r="K277" s="63"/>
      <c r="L277" s="63"/>
      <c r="M277" s="43" t="s">
        <v>24</v>
      </c>
      <c r="N277" s="43" t="s">
        <v>141</v>
      </c>
      <c r="O277" s="57">
        <v>46174</v>
      </c>
      <c r="P277" s="57" t="str" cm="1">
        <f t="array" aca="1" ref="P2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7" s="57" t="str" cm="1">
        <f t="array" aca="1" ref="Q2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7" s="6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30" hidden="1" customHeight="1" x14ac:dyDescent="0.25">
      <c r="A278" s="59">
        <v>272</v>
      </c>
      <c r="B278" s="56"/>
      <c r="C278" s="65" t="s">
        <v>292</v>
      </c>
      <c r="D278" s="56" t="s">
        <v>76</v>
      </c>
      <c r="E278" s="43" t="s">
        <v>1286</v>
      </c>
      <c r="F278" s="63" t="s">
        <v>1289</v>
      </c>
      <c r="G278" s="43">
        <v>482439</v>
      </c>
      <c r="H278" s="60" t="s">
        <v>1291</v>
      </c>
      <c r="I278" s="63" t="s">
        <v>773</v>
      </c>
      <c r="J278" s="63" t="s">
        <v>23</v>
      </c>
      <c r="K278" s="63"/>
      <c r="L278" s="63"/>
      <c r="M278" s="43" t="s">
        <v>24</v>
      </c>
      <c r="N278" s="43" t="s">
        <v>141</v>
      </c>
      <c r="O278" s="57">
        <v>46174</v>
      </c>
      <c r="P278" s="57" t="str" cm="1">
        <f t="array" aca="1" ref="P2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8" s="57" t="str" cm="1">
        <f t="array" aca="1" ref="Q2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8" s="6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30" hidden="1" customHeight="1" x14ac:dyDescent="0.25">
      <c r="A279" s="59">
        <v>273</v>
      </c>
      <c r="B279" s="56"/>
      <c r="C279" s="65" t="s">
        <v>292</v>
      </c>
      <c r="D279" s="56" t="s">
        <v>76</v>
      </c>
      <c r="E279" s="43" t="s">
        <v>1287</v>
      </c>
      <c r="F279" s="63" t="s">
        <v>1079</v>
      </c>
      <c r="G279" s="43" t="s">
        <v>1290</v>
      </c>
      <c r="H279" s="60" t="s">
        <v>1292</v>
      </c>
      <c r="I279" s="63" t="s">
        <v>1294</v>
      </c>
      <c r="J279" s="63" t="s">
        <v>23</v>
      </c>
      <c r="K279" s="63"/>
      <c r="L279" s="63"/>
      <c r="M279" s="43" t="s">
        <v>24</v>
      </c>
      <c r="N279" s="43" t="s">
        <v>141</v>
      </c>
      <c r="O279" s="57">
        <v>46174</v>
      </c>
      <c r="P279" s="57" t="str" cm="1">
        <f t="array" aca="1" ref="P2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79" s="57" t="str" cm="1">
        <f t="array" aca="1" ref="Q2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79" s="6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30" hidden="1" customHeight="1" x14ac:dyDescent="0.25">
      <c r="A280" s="59">
        <v>274</v>
      </c>
      <c r="B280" s="56"/>
      <c r="C280" s="65" t="s">
        <v>292</v>
      </c>
      <c r="D280" s="56" t="s">
        <v>76</v>
      </c>
      <c r="E280" s="43" t="s">
        <v>1288</v>
      </c>
      <c r="F280" s="63" t="s">
        <v>1079</v>
      </c>
      <c r="G280" s="43">
        <v>472535</v>
      </c>
      <c r="H280" s="60" t="s">
        <v>1292</v>
      </c>
      <c r="I280" s="63" t="s">
        <v>773</v>
      </c>
      <c r="J280" s="63" t="s">
        <v>23</v>
      </c>
      <c r="K280" s="63"/>
      <c r="L280" s="63"/>
      <c r="M280" s="43" t="s">
        <v>24</v>
      </c>
      <c r="N280" s="43" t="s">
        <v>141</v>
      </c>
      <c r="O280" s="57">
        <v>46174</v>
      </c>
      <c r="P280" s="57" t="str" cm="1">
        <f t="array" aca="1" ref="P2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0" s="57" t="str" cm="1">
        <f t="array" aca="1" ref="Q2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0" s="6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30" hidden="1" customHeight="1" x14ac:dyDescent="0.25">
      <c r="A281" s="59">
        <v>275</v>
      </c>
      <c r="B281" s="138"/>
      <c r="C281" s="65" t="s">
        <v>292</v>
      </c>
      <c r="D281" s="56" t="s">
        <v>76</v>
      </c>
      <c r="E281" s="43" t="s">
        <v>365</v>
      </c>
      <c r="F281" s="63" t="s">
        <v>366</v>
      </c>
      <c r="G281" s="43">
        <v>25324</v>
      </c>
      <c r="H281" s="60" t="s">
        <v>367</v>
      </c>
      <c r="I281" s="63" t="s">
        <v>368</v>
      </c>
      <c r="J281" s="63" t="s">
        <v>23</v>
      </c>
      <c r="K281" s="63"/>
      <c r="L281" s="63"/>
      <c r="M281" s="43" t="s">
        <v>24</v>
      </c>
      <c r="N281" s="43" t="s">
        <v>141</v>
      </c>
      <c r="O281" s="57">
        <v>45629</v>
      </c>
      <c r="P281" s="57" t="str" cm="1">
        <f t="array" aca="1" ref="P2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1" s="57" t="str" cm="1">
        <f t="array" aca="1" ref="Q2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1" s="61" t="s">
        <v>326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30" hidden="1" customHeight="1" x14ac:dyDescent="0.25">
      <c r="A282" s="59">
        <v>276</v>
      </c>
      <c r="B282" s="56"/>
      <c r="C282" s="65" t="s">
        <v>292</v>
      </c>
      <c r="D282" s="56" t="s">
        <v>76</v>
      </c>
      <c r="E282" s="43" t="s">
        <v>1070</v>
      </c>
      <c r="F282" s="63" t="s">
        <v>369</v>
      </c>
      <c r="G282" s="43" t="s">
        <v>1153</v>
      </c>
      <c r="H282" s="60" t="s">
        <v>370</v>
      </c>
      <c r="I282" s="63" t="s">
        <v>371</v>
      </c>
      <c r="J282" s="63" t="s">
        <v>23</v>
      </c>
      <c r="K282" s="63"/>
      <c r="L282" s="63"/>
      <c r="M282" s="43" t="s">
        <v>24</v>
      </c>
      <c r="N282" s="43" t="s">
        <v>141</v>
      </c>
      <c r="O282" s="57">
        <v>46130</v>
      </c>
      <c r="P282" s="57" t="str" cm="1">
        <f t="array" aca="1" ref="P2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2" s="57" t="str" cm="1">
        <f t="array" aca="1" ref="Q2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2" s="6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45" hidden="1" customHeight="1" x14ac:dyDescent="0.25">
      <c r="A283" s="59">
        <v>277</v>
      </c>
      <c r="B283" s="56"/>
      <c r="C283" s="65" t="s">
        <v>292</v>
      </c>
      <c r="D283" s="56" t="s">
        <v>76</v>
      </c>
      <c r="E283" s="43" t="s">
        <v>1304</v>
      </c>
      <c r="F283" s="63" t="s">
        <v>372</v>
      </c>
      <c r="G283" s="43">
        <v>25436</v>
      </c>
      <c r="H283" s="60" t="s">
        <v>370</v>
      </c>
      <c r="I283" s="63" t="s">
        <v>371</v>
      </c>
      <c r="J283" s="63" t="s">
        <v>23</v>
      </c>
      <c r="K283" s="63"/>
      <c r="L283" s="63"/>
      <c r="M283" s="43" t="s">
        <v>24</v>
      </c>
      <c r="N283" s="43" t="s">
        <v>141</v>
      </c>
      <c r="O283" s="57">
        <v>46131</v>
      </c>
      <c r="P283" s="57" t="str" cm="1">
        <f t="array" aca="1" ref="P2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3" s="57" t="str" cm="1">
        <f t="array" aca="1" ref="Q2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3" s="6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s="45" customFormat="1" ht="30" hidden="1" customHeight="1" x14ac:dyDescent="0.25">
      <c r="A284" s="66">
        <v>278</v>
      </c>
      <c r="B284" s="65"/>
      <c r="C284" s="65" t="s">
        <v>292</v>
      </c>
      <c r="D284" s="65" t="s">
        <v>76</v>
      </c>
      <c r="E284" s="63" t="s">
        <v>1069</v>
      </c>
      <c r="F284" s="63" t="s">
        <v>1072</v>
      </c>
      <c r="G284" s="63" t="s">
        <v>1073</v>
      </c>
      <c r="H284" s="68" t="s">
        <v>370</v>
      </c>
      <c r="I284" s="63"/>
      <c r="J284" s="63" t="s">
        <v>23</v>
      </c>
      <c r="K284" s="63"/>
      <c r="L284" s="63"/>
      <c r="M284" s="63" t="s">
        <v>24</v>
      </c>
      <c r="N284" s="63" t="s">
        <v>141</v>
      </c>
      <c r="O284" s="106">
        <v>46132</v>
      </c>
      <c r="P284" s="106" t="str" cm="1">
        <f t="array" aca="1" ref="P2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4" s="106" t="str" cm="1">
        <f t="array" aca="1" ref="Q2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4" s="108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</row>
    <row r="285" spans="1:28" ht="30" hidden="1" customHeight="1" x14ac:dyDescent="0.25">
      <c r="A285" s="59">
        <v>279</v>
      </c>
      <c r="B285" s="56"/>
      <c r="C285" s="65" t="s">
        <v>292</v>
      </c>
      <c r="D285" s="56" t="s">
        <v>76</v>
      </c>
      <c r="E285" s="43" t="s">
        <v>1303</v>
      </c>
      <c r="F285" s="63" t="s">
        <v>1283</v>
      </c>
      <c r="G285" s="43" t="s">
        <v>1282</v>
      </c>
      <c r="H285" s="60" t="s">
        <v>370</v>
      </c>
      <c r="I285" s="63" t="s">
        <v>1284</v>
      </c>
      <c r="J285" s="63" t="s">
        <v>23</v>
      </c>
      <c r="K285" s="63"/>
      <c r="L285" s="63"/>
      <c r="M285" s="43" t="s">
        <v>24</v>
      </c>
      <c r="N285" s="43" t="s">
        <v>141</v>
      </c>
      <c r="O285" s="57">
        <v>46174</v>
      </c>
      <c r="P285" s="57" t="str" cm="1">
        <f t="array" aca="1" ref="P2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5" s="57" t="str" cm="1">
        <f t="array" aca="1" ref="Q2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5" s="6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30" hidden="1" customHeight="1" x14ac:dyDescent="0.25">
      <c r="A286" s="59">
        <v>280</v>
      </c>
      <c r="B286" s="56"/>
      <c r="C286" s="65" t="s">
        <v>292</v>
      </c>
      <c r="D286" s="56" t="s">
        <v>76</v>
      </c>
      <c r="E286" s="43" t="s">
        <v>1313</v>
      </c>
      <c r="F286" s="68" t="s">
        <v>1314</v>
      </c>
      <c r="G286" s="60" t="s">
        <v>370</v>
      </c>
      <c r="H286" s="60" t="s">
        <v>370</v>
      </c>
      <c r="I286" s="63" t="s">
        <v>1315</v>
      </c>
      <c r="J286" s="63" t="s">
        <v>23</v>
      </c>
      <c r="K286" s="63"/>
      <c r="L286" s="63"/>
      <c r="M286" s="43" t="s">
        <v>24</v>
      </c>
      <c r="N286" s="43" t="s">
        <v>141</v>
      </c>
      <c r="O286" s="57">
        <v>46185</v>
      </c>
      <c r="P286" s="57" t="str" cm="1">
        <f t="array" aca="1" ref="P2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6" s="57" t="str" cm="1">
        <f t="array" aca="1" ref="Q2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6" s="6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30" hidden="1" customHeight="1" x14ac:dyDescent="0.25">
      <c r="A287" s="59">
        <v>281</v>
      </c>
      <c r="B287" s="56"/>
      <c r="C287" s="65" t="s">
        <v>292</v>
      </c>
      <c r="D287" s="56" t="s">
        <v>76</v>
      </c>
      <c r="E287" s="43"/>
      <c r="F287" s="68" t="s">
        <v>382</v>
      </c>
      <c r="G287" s="43" t="s">
        <v>1129</v>
      </c>
      <c r="H287" s="60" t="s">
        <v>1130</v>
      </c>
      <c r="I287" s="63" t="s">
        <v>1131</v>
      </c>
      <c r="J287" s="63" t="s">
        <v>23</v>
      </c>
      <c r="K287" s="63"/>
      <c r="L287" s="63"/>
      <c r="M287" s="43" t="s">
        <v>24</v>
      </c>
      <c r="N287" s="43" t="s">
        <v>141</v>
      </c>
      <c r="O287" s="57">
        <v>46133</v>
      </c>
      <c r="P287" s="57" t="str" cm="1">
        <f t="array" aca="1" ref="P2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7" s="57" t="str" cm="1">
        <f t="array" aca="1" ref="Q2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7" s="6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30" hidden="1" customHeight="1" x14ac:dyDescent="0.25">
      <c r="A288" s="59">
        <v>282</v>
      </c>
      <c r="B288" s="56"/>
      <c r="C288" s="65" t="s">
        <v>292</v>
      </c>
      <c r="D288" s="56" t="s">
        <v>76</v>
      </c>
      <c r="E288" s="43"/>
      <c r="F288" s="68" t="s">
        <v>382</v>
      </c>
      <c r="G288" s="43" t="s">
        <v>1127</v>
      </c>
      <c r="H288" s="68" t="s">
        <v>1126</v>
      </c>
      <c r="I288" s="63" t="s">
        <v>1125</v>
      </c>
      <c r="J288" s="63" t="s">
        <v>23</v>
      </c>
      <c r="K288" s="63"/>
      <c r="L288" s="63"/>
      <c r="M288" s="43" t="s">
        <v>24</v>
      </c>
      <c r="N288" s="43" t="s">
        <v>141</v>
      </c>
      <c r="O288" s="57">
        <v>46133</v>
      </c>
      <c r="P288" s="57" t="str" cm="1">
        <f t="array" aca="1" ref="P2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8" s="57" t="str" cm="1">
        <f t="array" aca="1" ref="Q2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8" s="6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36.75" hidden="1" customHeight="1" x14ac:dyDescent="0.25">
      <c r="A289" s="59">
        <v>283</v>
      </c>
      <c r="B289" s="56"/>
      <c r="C289" s="65" t="s">
        <v>292</v>
      </c>
      <c r="D289" s="56" t="s">
        <v>76</v>
      </c>
      <c r="E289" s="43"/>
      <c r="F289" s="68" t="s">
        <v>382</v>
      </c>
      <c r="G289" s="43" t="s">
        <v>386</v>
      </c>
      <c r="H289" s="60" t="s">
        <v>387</v>
      </c>
      <c r="I289" s="63" t="s">
        <v>1154</v>
      </c>
      <c r="J289" s="63" t="s">
        <v>721</v>
      </c>
      <c r="K289" s="63"/>
      <c r="L289" s="63"/>
      <c r="M289" s="43" t="s">
        <v>24</v>
      </c>
      <c r="N289" s="43" t="s">
        <v>141</v>
      </c>
      <c r="O289" s="57">
        <v>45938</v>
      </c>
      <c r="P289" s="57" t="str" cm="1">
        <f t="array" aca="1" ref="P2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89" s="57" t="str" cm="1">
        <f t="array" aca="1" ref="Q2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89" s="6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30" hidden="1" customHeight="1" x14ac:dyDescent="0.25">
      <c r="A290" s="59">
        <v>284</v>
      </c>
      <c r="B290" s="56"/>
      <c r="C290" s="65" t="s">
        <v>292</v>
      </c>
      <c r="D290" s="56" t="s">
        <v>76</v>
      </c>
      <c r="E290" s="43"/>
      <c r="F290" s="68" t="s">
        <v>382</v>
      </c>
      <c r="G290" s="43" t="s">
        <v>1155</v>
      </c>
      <c r="H290" s="60" t="s">
        <v>387</v>
      </c>
      <c r="I290" s="63" t="s">
        <v>1154</v>
      </c>
      <c r="J290" s="63" t="s">
        <v>23</v>
      </c>
      <c r="K290" s="63"/>
      <c r="L290" s="63"/>
      <c r="M290" s="43" t="s">
        <v>24</v>
      </c>
      <c r="N290" s="43" t="s">
        <v>141</v>
      </c>
      <c r="O290" s="57">
        <v>46133</v>
      </c>
      <c r="P290" s="57" t="str" cm="1">
        <f t="array" aca="1" ref="P2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0" s="57" t="str" cm="1">
        <f t="array" aca="1" ref="Q2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0" s="6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30" hidden="1" customHeight="1" x14ac:dyDescent="0.25">
      <c r="A291" s="59">
        <v>285</v>
      </c>
      <c r="B291" s="56"/>
      <c r="C291" s="65" t="s">
        <v>292</v>
      </c>
      <c r="D291" s="56" t="s">
        <v>76</v>
      </c>
      <c r="E291" s="43"/>
      <c r="F291" s="68" t="s">
        <v>382</v>
      </c>
      <c r="G291" s="43" t="s">
        <v>383</v>
      </c>
      <c r="H291" s="43" t="s">
        <v>384</v>
      </c>
      <c r="I291" s="63" t="s">
        <v>385</v>
      </c>
      <c r="J291" s="63" t="s">
        <v>23</v>
      </c>
      <c r="K291" s="63"/>
      <c r="L291" s="63"/>
      <c r="M291" s="43" t="s">
        <v>24</v>
      </c>
      <c r="N291" s="43" t="s">
        <v>141</v>
      </c>
      <c r="O291" s="57">
        <v>45938</v>
      </c>
      <c r="P291" s="57" t="str" cm="1">
        <f t="array" aca="1" ref="P2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1" s="57" t="str" cm="1">
        <f t="array" aca="1" ref="Q2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1" s="6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40.5" hidden="1" customHeight="1" x14ac:dyDescent="0.25">
      <c r="A292" s="59">
        <v>286</v>
      </c>
      <c r="B292" s="56"/>
      <c r="C292" s="65" t="s">
        <v>292</v>
      </c>
      <c r="D292" s="56" t="s">
        <v>76</v>
      </c>
      <c r="E292" s="43"/>
      <c r="F292" s="68" t="s">
        <v>382</v>
      </c>
      <c r="G292" s="43" t="s">
        <v>1121</v>
      </c>
      <c r="H292" s="43" t="s">
        <v>1120</v>
      </c>
      <c r="I292" s="63" t="s">
        <v>1156</v>
      </c>
      <c r="J292" s="63" t="s">
        <v>23</v>
      </c>
      <c r="K292" s="63"/>
      <c r="L292" s="63"/>
      <c r="M292" s="43" t="s">
        <v>24</v>
      </c>
      <c r="N292" s="43" t="s">
        <v>141</v>
      </c>
      <c r="O292" s="57">
        <v>46133</v>
      </c>
      <c r="P292" s="57" t="str" cm="1">
        <f t="array" aca="1" ref="P2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2" s="57" t="str" cm="1">
        <f t="array" aca="1" ref="Q2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2" s="6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30" hidden="1" customHeight="1" x14ac:dyDescent="0.25">
      <c r="A293" s="59">
        <v>287</v>
      </c>
      <c r="B293" s="56"/>
      <c r="C293" s="65" t="s">
        <v>292</v>
      </c>
      <c r="D293" s="56" t="s">
        <v>76</v>
      </c>
      <c r="E293" s="43"/>
      <c r="F293" s="68" t="s">
        <v>382</v>
      </c>
      <c r="G293" s="43" t="s">
        <v>388</v>
      </c>
      <c r="H293" s="43" t="s">
        <v>389</v>
      </c>
      <c r="I293" s="112" t="s">
        <v>390</v>
      </c>
      <c r="J293" s="63" t="s">
        <v>23</v>
      </c>
      <c r="K293" s="63"/>
      <c r="L293" s="63"/>
      <c r="M293" s="43" t="s">
        <v>24</v>
      </c>
      <c r="N293" s="43" t="s">
        <v>141</v>
      </c>
      <c r="O293" s="57">
        <v>45938</v>
      </c>
      <c r="P293" s="57" t="str" cm="1">
        <f t="array" aca="1" ref="P2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3" s="57" t="str" cm="1">
        <f t="array" aca="1" ref="Q2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3" s="6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30" hidden="1" customHeight="1" x14ac:dyDescent="0.25">
      <c r="A294" s="59">
        <v>288</v>
      </c>
      <c r="B294" s="56"/>
      <c r="C294" s="65" t="s">
        <v>292</v>
      </c>
      <c r="D294" s="56" t="s">
        <v>76</v>
      </c>
      <c r="E294" s="43"/>
      <c r="F294" s="68" t="s">
        <v>382</v>
      </c>
      <c r="G294" s="43" t="s">
        <v>391</v>
      </c>
      <c r="H294" s="60" t="s">
        <v>392</v>
      </c>
      <c r="I294" s="63" t="s">
        <v>393</v>
      </c>
      <c r="J294" s="63" t="s">
        <v>23</v>
      </c>
      <c r="K294" s="63"/>
      <c r="L294" s="63"/>
      <c r="M294" s="43" t="s">
        <v>24</v>
      </c>
      <c r="N294" s="43" t="s">
        <v>141</v>
      </c>
      <c r="O294" s="57">
        <v>46133</v>
      </c>
      <c r="P294" s="57" t="str" cm="1">
        <f t="array" aca="1" ref="P2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4" s="57" t="str" cm="1">
        <f t="array" aca="1" ref="Q2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4" s="6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36.75" hidden="1" customHeight="1" x14ac:dyDescent="0.25">
      <c r="A295" s="59">
        <v>289</v>
      </c>
      <c r="B295" s="56"/>
      <c r="C295" s="65" t="s">
        <v>292</v>
      </c>
      <c r="D295" s="56" t="s">
        <v>76</v>
      </c>
      <c r="E295" s="43"/>
      <c r="F295" s="68" t="s">
        <v>382</v>
      </c>
      <c r="G295" s="43" t="s">
        <v>391</v>
      </c>
      <c r="H295" s="60" t="s">
        <v>392</v>
      </c>
      <c r="I295" s="63" t="s">
        <v>393</v>
      </c>
      <c r="J295" s="63" t="s">
        <v>23</v>
      </c>
      <c r="K295" s="63"/>
      <c r="L295" s="63"/>
      <c r="M295" s="43" t="s">
        <v>24</v>
      </c>
      <c r="N295" s="43" t="s">
        <v>141</v>
      </c>
      <c r="O295" s="57">
        <v>46133</v>
      </c>
      <c r="P295" s="57" t="str" cm="1">
        <f t="array" aca="1" ref="P2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5" s="57" t="str" cm="1">
        <f t="array" aca="1" ref="Q2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5" s="6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36.75" hidden="1" customHeight="1" x14ac:dyDescent="0.25">
      <c r="A296" s="59">
        <v>290</v>
      </c>
      <c r="B296" s="56"/>
      <c r="C296" s="65" t="s">
        <v>292</v>
      </c>
      <c r="D296" s="56" t="s">
        <v>76</v>
      </c>
      <c r="E296" s="43"/>
      <c r="F296" s="68" t="s">
        <v>1116</v>
      </c>
      <c r="G296" s="43" t="s">
        <v>391</v>
      </c>
      <c r="H296" s="60" t="s">
        <v>392</v>
      </c>
      <c r="I296" s="63" t="s">
        <v>393</v>
      </c>
      <c r="J296" s="63" t="s">
        <v>23</v>
      </c>
      <c r="K296" s="63"/>
      <c r="L296" s="63"/>
      <c r="M296" s="43" t="s">
        <v>24</v>
      </c>
      <c r="N296" s="43" t="s">
        <v>141</v>
      </c>
      <c r="O296" s="57">
        <v>46133</v>
      </c>
      <c r="P296" s="57" t="str" cm="1">
        <f t="array" aca="1" ref="P2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6" s="57" t="str" cm="1">
        <f t="array" aca="1" ref="Q2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6" s="6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36.75" hidden="1" customHeight="1" x14ac:dyDescent="0.25">
      <c r="A297" s="59">
        <v>291</v>
      </c>
      <c r="B297" s="56"/>
      <c r="C297" s="65" t="s">
        <v>292</v>
      </c>
      <c r="D297" s="56" t="s">
        <v>76</v>
      </c>
      <c r="E297" s="43"/>
      <c r="F297" s="68" t="s">
        <v>1274</v>
      </c>
      <c r="G297" s="43" t="s">
        <v>1275</v>
      </c>
      <c r="H297" s="60" t="s">
        <v>1280</v>
      </c>
      <c r="I297" s="63" t="s">
        <v>1276</v>
      </c>
      <c r="J297" s="63" t="s">
        <v>23</v>
      </c>
      <c r="K297" s="63"/>
      <c r="L297" s="63"/>
      <c r="M297" s="43" t="s">
        <v>24</v>
      </c>
      <c r="N297" s="43" t="s">
        <v>141</v>
      </c>
      <c r="O297" s="57">
        <v>46174</v>
      </c>
      <c r="P297" s="57" t="str" cm="1">
        <f t="array" aca="1" ref="P2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7" s="57" t="str" cm="1">
        <f t="array" aca="1" ref="Q2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7" s="6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36.75" hidden="1" customHeight="1" x14ac:dyDescent="0.25">
      <c r="A298" s="59">
        <v>292</v>
      </c>
      <c r="B298" s="56"/>
      <c r="C298" s="65" t="s">
        <v>292</v>
      </c>
      <c r="D298" s="56" t="s">
        <v>76</v>
      </c>
      <c r="E298" s="43"/>
      <c r="F298" s="68" t="s">
        <v>1274</v>
      </c>
      <c r="G298" s="43" t="s">
        <v>1277</v>
      </c>
      <c r="H298" s="60" t="s">
        <v>1279</v>
      </c>
      <c r="I298" s="63" t="s">
        <v>1278</v>
      </c>
      <c r="J298" s="63" t="s">
        <v>23</v>
      </c>
      <c r="K298" s="63"/>
      <c r="L298" s="63"/>
      <c r="M298" s="43" t="s">
        <v>24</v>
      </c>
      <c r="N298" s="43" t="s">
        <v>141</v>
      </c>
      <c r="O298" s="57">
        <v>46174</v>
      </c>
      <c r="P298" s="57" t="str" cm="1">
        <f t="array" aca="1" ref="P2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8" s="57" t="str" cm="1">
        <f t="array" aca="1" ref="Q2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8" s="6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36.75" hidden="1" customHeight="1" x14ac:dyDescent="0.25">
      <c r="A299" s="59">
        <v>293</v>
      </c>
      <c r="B299" s="56"/>
      <c r="C299" s="65" t="s">
        <v>292</v>
      </c>
      <c r="D299" s="56" t="s">
        <v>76</v>
      </c>
      <c r="E299" s="43"/>
      <c r="F299" s="68" t="s">
        <v>382</v>
      </c>
      <c r="G299" s="43" t="s">
        <v>1310</v>
      </c>
      <c r="H299" s="60" t="s">
        <v>1309</v>
      </c>
      <c r="I299" s="63" t="s">
        <v>393</v>
      </c>
      <c r="J299" s="63" t="s">
        <v>23</v>
      </c>
      <c r="K299" s="63"/>
      <c r="L299" s="63"/>
      <c r="M299" s="43" t="s">
        <v>24</v>
      </c>
      <c r="N299" s="43" t="s">
        <v>141</v>
      </c>
      <c r="O299" s="57">
        <v>46185</v>
      </c>
      <c r="P299" s="57" t="str" cm="1">
        <f t="array" aca="1" ref="P2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299" s="57" t="str" cm="1">
        <f t="array" aca="1" ref="Q2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299" s="6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36.75" hidden="1" customHeight="1" x14ac:dyDescent="0.25">
      <c r="A300" s="59">
        <v>294</v>
      </c>
      <c r="B300" s="56"/>
      <c r="C300" s="65" t="s">
        <v>292</v>
      </c>
      <c r="D300" s="56" t="s">
        <v>76</v>
      </c>
      <c r="E300" s="43"/>
      <c r="F300" s="68" t="s">
        <v>382</v>
      </c>
      <c r="G300" s="43" t="s">
        <v>1311</v>
      </c>
      <c r="H300" s="60" t="s">
        <v>1312</v>
      </c>
      <c r="I300" s="63" t="s">
        <v>1276</v>
      </c>
      <c r="J300" s="63" t="s">
        <v>23</v>
      </c>
      <c r="K300" s="63"/>
      <c r="L300" s="63"/>
      <c r="M300" s="43" t="s">
        <v>24</v>
      </c>
      <c r="N300" s="43" t="s">
        <v>141</v>
      </c>
      <c r="O300" s="57">
        <v>46185</v>
      </c>
      <c r="P300" s="57" t="str" cm="1">
        <f t="array" aca="1" ref="P3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0" s="57" t="str" cm="1">
        <f t="array" aca="1" ref="Q3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0" s="6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36.75" hidden="1" customHeight="1" x14ac:dyDescent="0.25">
      <c r="A301" s="59">
        <v>295</v>
      </c>
      <c r="B301" s="56"/>
      <c r="C301" s="65" t="s">
        <v>292</v>
      </c>
      <c r="D301" s="56" t="s">
        <v>76</v>
      </c>
      <c r="E301" s="43"/>
      <c r="F301" s="68" t="s">
        <v>382</v>
      </c>
      <c r="G301" s="43" t="s">
        <v>1364</v>
      </c>
      <c r="H301" s="60" t="s">
        <v>1365</v>
      </c>
      <c r="I301" s="63" t="s">
        <v>1366</v>
      </c>
      <c r="J301" s="63" t="s">
        <v>23</v>
      </c>
      <c r="K301" s="63"/>
      <c r="L301" s="63"/>
      <c r="M301" s="43" t="s">
        <v>24</v>
      </c>
      <c r="N301" s="43" t="s">
        <v>141</v>
      </c>
      <c r="O301" s="57">
        <v>46196</v>
      </c>
      <c r="P301" s="57" t="str" cm="1">
        <f t="array" aca="1" ref="P30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1" s="57" t="str" cm="1">
        <f t="array" aca="1" ref="Q3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1" s="6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36.75" hidden="1" customHeight="1" x14ac:dyDescent="0.25">
      <c r="A302" s="59">
        <v>296</v>
      </c>
      <c r="B302" s="138"/>
      <c r="C302" s="65" t="s">
        <v>292</v>
      </c>
      <c r="D302" s="56" t="s">
        <v>76</v>
      </c>
      <c r="E302" s="43"/>
      <c r="F302" s="68" t="s">
        <v>394</v>
      </c>
      <c r="G302" s="43" t="s">
        <v>88</v>
      </c>
      <c r="H302" s="60" t="s">
        <v>1298</v>
      </c>
      <c r="I302" s="63" t="s">
        <v>395</v>
      </c>
      <c r="J302" s="63" t="s">
        <v>23</v>
      </c>
      <c r="K302" s="63"/>
      <c r="L302" s="63"/>
      <c r="M302" s="43" t="s">
        <v>24</v>
      </c>
      <c r="N302" s="43" t="s">
        <v>141</v>
      </c>
      <c r="O302" s="57">
        <v>45847</v>
      </c>
      <c r="P302" s="57" t="str" cm="1">
        <f t="array" aca="1" ref="P3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2" s="57" t="str" cm="1">
        <f t="array" aca="1" ref="Q3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2" s="61" t="s">
        <v>326</v>
      </c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36.75" hidden="1" customHeight="1" x14ac:dyDescent="0.25">
      <c r="A303" s="59">
        <v>297</v>
      </c>
      <c r="B303" s="138"/>
      <c r="C303" s="65" t="s">
        <v>292</v>
      </c>
      <c r="D303" s="56" t="s">
        <v>76</v>
      </c>
      <c r="E303" s="43"/>
      <c r="F303" s="68" t="s">
        <v>396</v>
      </c>
      <c r="G303" s="43" t="s">
        <v>88</v>
      </c>
      <c r="H303" s="60" t="s">
        <v>397</v>
      </c>
      <c r="I303" s="63" t="s">
        <v>395</v>
      </c>
      <c r="J303" s="63" t="s">
        <v>23</v>
      </c>
      <c r="K303" s="63"/>
      <c r="L303" s="63"/>
      <c r="M303" s="43" t="s">
        <v>24</v>
      </c>
      <c r="N303" s="43" t="s">
        <v>141</v>
      </c>
      <c r="O303" s="57">
        <v>45847</v>
      </c>
      <c r="P303" s="57" t="str" cm="1">
        <f t="array" aca="1" ref="P3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3" s="57" t="str" cm="1">
        <f t="array" aca="1" ref="Q3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3" s="61" t="s">
        <v>326</v>
      </c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36.75" hidden="1" customHeight="1" x14ac:dyDescent="0.25">
      <c r="A304" s="59">
        <v>298</v>
      </c>
      <c r="B304" s="138"/>
      <c r="C304" s="65" t="s">
        <v>292</v>
      </c>
      <c r="D304" s="56" t="s">
        <v>76</v>
      </c>
      <c r="E304" s="43" t="s">
        <v>419</v>
      </c>
      <c r="F304" s="68" t="s">
        <v>420</v>
      </c>
      <c r="G304" s="63" t="s">
        <v>421</v>
      </c>
      <c r="H304" s="60" t="s">
        <v>422</v>
      </c>
      <c r="I304" s="63" t="s">
        <v>423</v>
      </c>
      <c r="J304" s="63" t="s">
        <v>424</v>
      </c>
      <c r="K304" s="63"/>
      <c r="L304" s="63"/>
      <c r="M304" s="43" t="s">
        <v>24</v>
      </c>
      <c r="N304" s="43" t="s">
        <v>402</v>
      </c>
      <c r="O304" s="57">
        <v>45789</v>
      </c>
      <c r="P304" s="57" t="str" cm="1">
        <f t="array" aca="1" ref="P3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4" s="57" t="str" cm="1">
        <f t="array" aca="1" ref="Q3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4" s="61" t="s">
        <v>1052</v>
      </c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36.75" hidden="1" customHeight="1" x14ac:dyDescent="0.25">
      <c r="A305" s="59">
        <v>299</v>
      </c>
      <c r="B305" s="138"/>
      <c r="C305" s="65" t="s">
        <v>292</v>
      </c>
      <c r="D305" s="56" t="s">
        <v>76</v>
      </c>
      <c r="E305" s="43" t="s">
        <v>425</v>
      </c>
      <c r="F305" s="68" t="s">
        <v>420</v>
      </c>
      <c r="G305" s="63" t="s">
        <v>426</v>
      </c>
      <c r="H305" s="60" t="s">
        <v>422</v>
      </c>
      <c r="I305" s="63" t="s">
        <v>423</v>
      </c>
      <c r="J305" s="63" t="s">
        <v>424</v>
      </c>
      <c r="K305" s="63"/>
      <c r="L305" s="63"/>
      <c r="M305" s="43" t="s">
        <v>24</v>
      </c>
      <c r="N305" s="43" t="s">
        <v>402</v>
      </c>
      <c r="O305" s="57">
        <v>45789</v>
      </c>
      <c r="P305" s="57" t="str" cm="1">
        <f t="array" aca="1" ref="P3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5" s="57" t="str" cm="1">
        <f t="array" aca="1" ref="Q3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5" s="61" t="s">
        <v>1052</v>
      </c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36.75" hidden="1" customHeight="1" x14ac:dyDescent="0.25">
      <c r="A306" s="59">
        <v>300</v>
      </c>
      <c r="B306" s="138"/>
      <c r="C306" s="65" t="s">
        <v>292</v>
      </c>
      <c r="D306" s="56" t="s">
        <v>76</v>
      </c>
      <c r="E306" s="43" t="s">
        <v>427</v>
      </c>
      <c r="F306" s="68" t="s">
        <v>420</v>
      </c>
      <c r="G306" s="63" t="s">
        <v>428</v>
      </c>
      <c r="H306" s="60" t="s">
        <v>422</v>
      </c>
      <c r="I306" s="63" t="s">
        <v>423</v>
      </c>
      <c r="J306" s="63" t="s">
        <v>424</v>
      </c>
      <c r="K306" s="63"/>
      <c r="L306" s="63"/>
      <c r="M306" s="43" t="s">
        <v>24</v>
      </c>
      <c r="N306" s="43" t="s">
        <v>402</v>
      </c>
      <c r="O306" s="57">
        <v>45789</v>
      </c>
      <c r="P306" s="57" t="str" cm="1">
        <f t="array" aca="1" ref="P3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6" s="57" t="str" cm="1">
        <f t="array" aca="1" ref="Q3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6" s="61" t="s">
        <v>1052</v>
      </c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36.75" hidden="1" customHeight="1" x14ac:dyDescent="0.25">
      <c r="A307" s="59">
        <v>301</v>
      </c>
      <c r="B307" s="138"/>
      <c r="C307" s="65" t="s">
        <v>292</v>
      </c>
      <c r="D307" s="56" t="s">
        <v>76</v>
      </c>
      <c r="E307" s="43" t="s">
        <v>429</v>
      </c>
      <c r="F307" s="68" t="s">
        <v>420</v>
      </c>
      <c r="G307" s="63" t="s">
        <v>430</v>
      </c>
      <c r="H307" s="60" t="s">
        <v>431</v>
      </c>
      <c r="I307" s="63" t="s">
        <v>423</v>
      </c>
      <c r="J307" s="63" t="s">
        <v>424</v>
      </c>
      <c r="K307" s="63"/>
      <c r="L307" s="63"/>
      <c r="M307" s="43" t="s">
        <v>24</v>
      </c>
      <c r="N307" s="43" t="s">
        <v>402</v>
      </c>
      <c r="O307" s="57">
        <v>45789</v>
      </c>
      <c r="P307" s="57" t="str" cm="1">
        <f t="array" aca="1" ref="P3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7" s="57" t="str" cm="1">
        <f t="array" aca="1" ref="Q3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7" s="61" t="s">
        <v>1052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30" hidden="1" customHeight="1" x14ac:dyDescent="0.25">
      <c r="A308" s="59">
        <v>302</v>
      </c>
      <c r="B308" s="56"/>
      <c r="C308" s="65" t="s">
        <v>292</v>
      </c>
      <c r="D308" s="56" t="s">
        <v>76</v>
      </c>
      <c r="E308" s="43" t="s">
        <v>432</v>
      </c>
      <c r="F308" s="68" t="s">
        <v>420</v>
      </c>
      <c r="G308" s="43" t="s">
        <v>433</v>
      </c>
      <c r="H308" s="60" t="s">
        <v>434</v>
      </c>
      <c r="I308" s="63" t="s">
        <v>435</v>
      </c>
      <c r="J308" s="63" t="s">
        <v>23</v>
      </c>
      <c r="K308" s="63"/>
      <c r="L308" s="63"/>
      <c r="M308" s="43" t="s">
        <v>24</v>
      </c>
      <c r="N308" s="43" t="s">
        <v>402</v>
      </c>
      <c r="O308" s="57">
        <v>45909</v>
      </c>
      <c r="P308" s="57" t="str" cm="1">
        <f t="array" aca="1" ref="P3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8" s="57" t="str" cm="1">
        <f t="array" aca="1" ref="Q3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8" s="6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30" hidden="1" customHeight="1" x14ac:dyDescent="0.25">
      <c r="A309" s="59">
        <v>303</v>
      </c>
      <c r="B309" s="56"/>
      <c r="C309" s="65" t="s">
        <v>292</v>
      </c>
      <c r="D309" s="56" t="s">
        <v>76</v>
      </c>
      <c r="E309" s="43" t="s">
        <v>398</v>
      </c>
      <c r="F309" s="68" t="s">
        <v>399</v>
      </c>
      <c r="G309" s="43" t="s">
        <v>378</v>
      </c>
      <c r="H309" s="60" t="s">
        <v>400</v>
      </c>
      <c r="I309" s="63" t="s">
        <v>401</v>
      </c>
      <c r="J309" s="63" t="s">
        <v>23</v>
      </c>
      <c r="K309" s="63"/>
      <c r="L309" s="63"/>
      <c r="M309" s="43" t="s">
        <v>24</v>
      </c>
      <c r="N309" s="43" t="s">
        <v>402</v>
      </c>
      <c r="O309" s="57">
        <v>45909</v>
      </c>
      <c r="P309" s="57" t="str" cm="1">
        <f t="array" aca="1" ref="P3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09" s="57" t="str" cm="1">
        <f t="array" aca="1" ref="Q3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09" s="6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45.75" hidden="1" customHeight="1" x14ac:dyDescent="0.25">
      <c r="A310" s="59">
        <v>304</v>
      </c>
      <c r="B310" s="56"/>
      <c r="C310" s="65" t="s">
        <v>292</v>
      </c>
      <c r="D310" s="56" t="s">
        <v>76</v>
      </c>
      <c r="E310" s="43" t="s">
        <v>403</v>
      </c>
      <c r="F310" s="68" t="s">
        <v>404</v>
      </c>
      <c r="G310" s="43" t="s">
        <v>378</v>
      </c>
      <c r="H310" s="60" t="s">
        <v>400</v>
      </c>
      <c r="I310" s="63" t="s">
        <v>401</v>
      </c>
      <c r="J310" s="63" t="s">
        <v>23</v>
      </c>
      <c r="K310" s="63"/>
      <c r="L310" s="63"/>
      <c r="M310" s="43" t="s">
        <v>24</v>
      </c>
      <c r="N310" s="43" t="s">
        <v>402</v>
      </c>
      <c r="O310" s="57">
        <v>45910</v>
      </c>
      <c r="P310" s="57" t="str" cm="1">
        <f t="array" aca="1" ref="P3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0" s="57" t="str" cm="1">
        <f t="array" aca="1" ref="Q3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0" s="6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30" hidden="1" customHeight="1" x14ac:dyDescent="0.25">
      <c r="A311" s="59">
        <v>305</v>
      </c>
      <c r="B311" s="56"/>
      <c r="C311" s="65" t="s">
        <v>292</v>
      </c>
      <c r="D311" s="56" t="s">
        <v>76</v>
      </c>
      <c r="E311" s="43" t="s">
        <v>405</v>
      </c>
      <c r="F311" s="68" t="s">
        <v>406</v>
      </c>
      <c r="G311" s="43" t="s">
        <v>378</v>
      </c>
      <c r="H311" s="60" t="s">
        <v>407</v>
      </c>
      <c r="I311" s="63" t="s">
        <v>408</v>
      </c>
      <c r="J311" s="63" t="s">
        <v>23</v>
      </c>
      <c r="K311" s="63"/>
      <c r="L311" s="63"/>
      <c r="M311" s="43" t="s">
        <v>24</v>
      </c>
      <c r="N311" s="43" t="s">
        <v>402</v>
      </c>
      <c r="O311" s="57">
        <v>45911</v>
      </c>
      <c r="P311" s="57" t="str" cm="1">
        <f t="array" aca="1" ref="P3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1" s="57" t="str" cm="1">
        <f t="array" aca="1" ref="Q3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1" s="6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30" hidden="1" customHeight="1" x14ac:dyDescent="0.25">
      <c r="A312" s="59">
        <v>306</v>
      </c>
      <c r="B312" s="56"/>
      <c r="C312" s="65" t="s">
        <v>292</v>
      </c>
      <c r="D312" s="56" t="s">
        <v>76</v>
      </c>
      <c r="E312" s="43" t="s">
        <v>409</v>
      </c>
      <c r="F312" s="68" t="s">
        <v>406</v>
      </c>
      <c r="G312" s="43" t="s">
        <v>378</v>
      </c>
      <c r="H312" s="60" t="s">
        <v>407</v>
      </c>
      <c r="I312" s="63" t="s">
        <v>410</v>
      </c>
      <c r="J312" s="63" t="s">
        <v>23</v>
      </c>
      <c r="K312" s="63"/>
      <c r="L312" s="63"/>
      <c r="M312" s="43" t="s">
        <v>24</v>
      </c>
      <c r="N312" s="43" t="s">
        <v>402</v>
      </c>
      <c r="O312" s="57">
        <v>45912</v>
      </c>
      <c r="P312" s="57" t="str" cm="1">
        <f t="array" aca="1" ref="P3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2" s="57" t="str" cm="1">
        <f t="array" aca="1" ref="Q3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2" s="6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2.75" hidden="1" customHeight="1" x14ac:dyDescent="0.25">
      <c r="A313" s="59">
        <v>307</v>
      </c>
      <c r="B313" s="56"/>
      <c r="C313" s="65" t="s">
        <v>292</v>
      </c>
      <c r="D313" s="56" t="s">
        <v>76</v>
      </c>
      <c r="E313" s="43" t="s">
        <v>411</v>
      </c>
      <c r="F313" s="68" t="s">
        <v>406</v>
      </c>
      <c r="G313" s="43" t="s">
        <v>412</v>
      </c>
      <c r="H313" s="60" t="s">
        <v>413</v>
      </c>
      <c r="I313" s="63" t="s">
        <v>401</v>
      </c>
      <c r="J313" s="63" t="s">
        <v>23</v>
      </c>
      <c r="K313" s="63"/>
      <c r="L313" s="63"/>
      <c r="M313" s="43" t="s">
        <v>24</v>
      </c>
      <c r="N313" s="43" t="s">
        <v>402</v>
      </c>
      <c r="O313" s="57">
        <v>45913</v>
      </c>
      <c r="P313" s="57" t="str" cm="1">
        <f t="array" aca="1" ref="P3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3" s="57" t="str" cm="1">
        <f t="array" aca="1" ref="Q3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3" s="6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21.75" hidden="1" customHeight="1" x14ac:dyDescent="0.25">
      <c r="A314" s="59">
        <v>308</v>
      </c>
      <c r="B314" s="56"/>
      <c r="C314" s="65" t="s">
        <v>292</v>
      </c>
      <c r="D314" s="56" t="s">
        <v>76</v>
      </c>
      <c r="E314" s="43" t="s">
        <v>414</v>
      </c>
      <c r="F314" s="68" t="s">
        <v>415</v>
      </c>
      <c r="G314" s="43" t="s">
        <v>416</v>
      </c>
      <c r="H314" s="60" t="s">
        <v>417</v>
      </c>
      <c r="I314" s="63" t="s">
        <v>418</v>
      </c>
      <c r="J314" s="63" t="s">
        <v>23</v>
      </c>
      <c r="K314" s="63"/>
      <c r="L314" s="63"/>
      <c r="M314" s="43" t="s">
        <v>24</v>
      </c>
      <c r="N314" s="43" t="s">
        <v>402</v>
      </c>
      <c r="O314" s="57">
        <v>45914</v>
      </c>
      <c r="P314" s="57" t="str" cm="1">
        <f t="array" aca="1" ref="P3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4" s="57" t="str" cm="1">
        <f t="array" aca="1" ref="Q3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4" s="6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2.75" hidden="1" customHeight="1" x14ac:dyDescent="0.25">
      <c r="A315" s="59">
        <v>309</v>
      </c>
      <c r="B315" s="56"/>
      <c r="C315" s="65" t="s">
        <v>292</v>
      </c>
      <c r="D315" s="56" t="s">
        <v>76</v>
      </c>
      <c r="E315" s="43" t="s">
        <v>604</v>
      </c>
      <c r="F315" s="68" t="s">
        <v>420</v>
      </c>
      <c r="G315" s="43" t="s">
        <v>606</v>
      </c>
      <c r="H315" s="60" t="s">
        <v>609</v>
      </c>
      <c r="I315" s="63" t="s">
        <v>608</v>
      </c>
      <c r="J315" s="63" t="s">
        <v>23</v>
      </c>
      <c r="K315" s="63"/>
      <c r="L315" s="63"/>
      <c r="M315" s="43" t="s">
        <v>24</v>
      </c>
      <c r="N315" s="43" t="s">
        <v>402</v>
      </c>
      <c r="O315" s="57">
        <v>45988</v>
      </c>
      <c r="P315" s="57" t="str" cm="1">
        <f t="array" aca="1" ref="P3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5" s="57" t="str" cm="1">
        <f t="array" aca="1" ref="Q3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5" s="6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2.75" hidden="1" customHeight="1" x14ac:dyDescent="0.25">
      <c r="A316" s="59">
        <v>310</v>
      </c>
      <c r="B316" s="56"/>
      <c r="C316" s="65" t="s">
        <v>292</v>
      </c>
      <c r="D316" s="56" t="s">
        <v>76</v>
      </c>
      <c r="E316" s="43" t="s">
        <v>605</v>
      </c>
      <c r="F316" s="68" t="s">
        <v>420</v>
      </c>
      <c r="G316" s="43" t="s">
        <v>607</v>
      </c>
      <c r="H316" s="60" t="s">
        <v>609</v>
      </c>
      <c r="I316" s="63" t="s">
        <v>608</v>
      </c>
      <c r="J316" s="63" t="s">
        <v>23</v>
      </c>
      <c r="K316" s="63"/>
      <c r="L316" s="63"/>
      <c r="M316" s="43" t="s">
        <v>24</v>
      </c>
      <c r="N316" s="43" t="s">
        <v>402</v>
      </c>
      <c r="O316" s="57">
        <v>45988</v>
      </c>
      <c r="P316" s="57" t="str" cm="1">
        <f t="array" aca="1" ref="P3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6" s="57" t="str" cm="1">
        <f t="array" aca="1" ref="Q3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6" s="6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2.75" hidden="1" customHeight="1" x14ac:dyDescent="0.25">
      <c r="A317" s="59">
        <v>312</v>
      </c>
      <c r="B317" s="138"/>
      <c r="C317" s="65" t="s">
        <v>436</v>
      </c>
      <c r="D317" s="56" t="s">
        <v>76</v>
      </c>
      <c r="E317" s="43"/>
      <c r="F317" s="68" t="s">
        <v>442</v>
      </c>
      <c r="G317" s="43" t="s">
        <v>378</v>
      </c>
      <c r="H317" s="60"/>
      <c r="I317" s="63" t="s">
        <v>443</v>
      </c>
      <c r="J317" s="63" t="s">
        <v>23</v>
      </c>
      <c r="K317" s="63"/>
      <c r="L317" s="63"/>
      <c r="M317" s="43" t="s">
        <v>24</v>
      </c>
      <c r="N317" s="43" t="s">
        <v>141</v>
      </c>
      <c r="O317" s="57">
        <v>45874</v>
      </c>
      <c r="P317" s="57" t="str" cm="1">
        <f t="array" aca="1" ref="P3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7" s="57" t="str" cm="1">
        <f t="array" aca="1" ref="Q3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7" s="62" t="s">
        <v>444</v>
      </c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27.75" hidden="1" customHeight="1" x14ac:dyDescent="0.25">
      <c r="A318" s="59">
        <v>313</v>
      </c>
      <c r="B318" s="56"/>
      <c r="C318" s="65" t="s">
        <v>436</v>
      </c>
      <c r="D318" s="56" t="s">
        <v>76</v>
      </c>
      <c r="E318" s="43"/>
      <c r="F318" s="68" t="s">
        <v>445</v>
      </c>
      <c r="G318" s="43">
        <v>10081431</v>
      </c>
      <c r="H318" s="60" t="s">
        <v>446</v>
      </c>
      <c r="I318" s="63" t="s">
        <v>447</v>
      </c>
      <c r="J318" s="63" t="s">
        <v>448</v>
      </c>
      <c r="K318" s="63"/>
      <c r="L318" s="63"/>
      <c r="M318" s="43" t="s">
        <v>24</v>
      </c>
      <c r="N318" s="43" t="s">
        <v>141</v>
      </c>
      <c r="O318" s="57">
        <v>45943</v>
      </c>
      <c r="P318" s="57" t="str" cm="1">
        <f t="array" aca="1" ref="P3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8" s="57" t="str" cm="1">
        <f t="array" aca="1" ref="Q3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8" s="6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2.75" hidden="1" customHeight="1" x14ac:dyDescent="0.25">
      <c r="A319" s="59">
        <v>314</v>
      </c>
      <c r="B319" s="56"/>
      <c r="C319" s="65" t="s">
        <v>436</v>
      </c>
      <c r="D319" s="56" t="s">
        <v>76</v>
      </c>
      <c r="E319" s="43" t="s">
        <v>449</v>
      </c>
      <c r="F319" s="68" t="s">
        <v>450</v>
      </c>
      <c r="G319" s="63" t="s">
        <v>451</v>
      </c>
      <c r="H319" s="60" t="s">
        <v>452</v>
      </c>
      <c r="I319" s="63" t="s">
        <v>453</v>
      </c>
      <c r="J319" s="63" t="s">
        <v>23</v>
      </c>
      <c r="K319" s="63"/>
      <c r="L319" s="63"/>
      <c r="M319" s="43" t="s">
        <v>24</v>
      </c>
      <c r="N319" s="43" t="s">
        <v>141</v>
      </c>
      <c r="O319" s="57">
        <v>46134</v>
      </c>
      <c r="P319" s="57" t="str" cm="1">
        <f t="array" aca="1" ref="P3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19" s="57" t="str" cm="1">
        <f t="array" aca="1" ref="Q3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19" s="61" t="s">
        <v>1053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35.25" hidden="1" customHeight="1" x14ac:dyDescent="0.25">
      <c r="A320" s="59">
        <v>315</v>
      </c>
      <c r="B320" s="56"/>
      <c r="C320" s="65" t="s">
        <v>436</v>
      </c>
      <c r="D320" s="56" t="s">
        <v>76</v>
      </c>
      <c r="E320" s="43" t="s">
        <v>1101</v>
      </c>
      <c r="F320" s="68" t="s">
        <v>1102</v>
      </c>
      <c r="G320" s="63" t="s">
        <v>1105</v>
      </c>
      <c r="H320" s="60" t="s">
        <v>1103</v>
      </c>
      <c r="I320" s="63" t="s">
        <v>1104</v>
      </c>
      <c r="J320" s="63" t="s">
        <v>721</v>
      </c>
      <c r="K320" s="63"/>
      <c r="L320" s="63"/>
      <c r="M320" s="43" t="s">
        <v>24</v>
      </c>
      <c r="N320" s="43" t="s">
        <v>141</v>
      </c>
      <c r="O320" s="57">
        <v>46140</v>
      </c>
      <c r="P320" s="57" t="str" cm="1">
        <f t="array" aca="1" ref="P3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0" s="57" t="str" cm="1">
        <f t="array" aca="1" ref="Q3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0" s="6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35.25" hidden="1" customHeight="1" x14ac:dyDescent="0.25">
      <c r="A321" s="59">
        <v>316</v>
      </c>
      <c r="B321" s="56"/>
      <c r="C321" s="65" t="s">
        <v>436</v>
      </c>
      <c r="D321" s="56" t="s">
        <v>76</v>
      </c>
      <c r="E321" s="43" t="s">
        <v>1094</v>
      </c>
      <c r="F321" s="68" t="s">
        <v>1095</v>
      </c>
      <c r="G321" s="63" t="s">
        <v>463</v>
      </c>
      <c r="H321" s="60" t="s">
        <v>464</v>
      </c>
      <c r="I321" s="63" t="s">
        <v>461</v>
      </c>
      <c r="J321" s="63" t="s">
        <v>23</v>
      </c>
      <c r="K321" s="63"/>
      <c r="L321" s="63"/>
      <c r="M321" s="43" t="s">
        <v>24</v>
      </c>
      <c r="N321" s="43" t="s">
        <v>141</v>
      </c>
      <c r="O321" s="57">
        <v>46134</v>
      </c>
      <c r="P321" s="57" t="str" cm="1">
        <f t="array" aca="1" ref="P3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1" s="57" t="str" cm="1">
        <f t="array" aca="1" ref="Q3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1" s="61" t="s">
        <v>1053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7.25" hidden="1" customHeight="1" x14ac:dyDescent="0.25">
      <c r="A322" s="59">
        <v>317</v>
      </c>
      <c r="B322" s="56"/>
      <c r="C322" s="65" t="s">
        <v>436</v>
      </c>
      <c r="D322" s="56" t="s">
        <v>76</v>
      </c>
      <c r="E322" s="43"/>
      <c r="F322" s="68" t="s">
        <v>454</v>
      </c>
      <c r="G322" s="63" t="s">
        <v>458</v>
      </c>
      <c r="H322" s="60" t="s">
        <v>456</v>
      </c>
      <c r="I322" s="63" t="s">
        <v>457</v>
      </c>
      <c r="J322" s="63" t="s">
        <v>459</v>
      </c>
      <c r="K322" s="63"/>
      <c r="L322" s="63"/>
      <c r="M322" s="43" t="s">
        <v>24</v>
      </c>
      <c r="N322" s="43" t="s">
        <v>141</v>
      </c>
      <c r="O322" s="57">
        <v>46158</v>
      </c>
      <c r="P322" s="57" t="str" cm="1">
        <f t="array" aca="1" ref="P3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2" s="57" t="str" cm="1">
        <f t="array" aca="1" ref="Q3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2" s="62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37.5" hidden="1" customHeight="1" x14ac:dyDescent="0.25">
      <c r="A323" s="59">
        <v>318</v>
      </c>
      <c r="B323" s="56"/>
      <c r="C323" s="65" t="s">
        <v>436</v>
      </c>
      <c r="D323" s="56" t="s">
        <v>76</v>
      </c>
      <c r="E323" s="43" t="s">
        <v>779</v>
      </c>
      <c r="F323" s="68" t="s">
        <v>454</v>
      </c>
      <c r="G323" s="43">
        <v>10010267</v>
      </c>
      <c r="H323" s="60" t="s">
        <v>460</v>
      </c>
      <c r="I323" s="63" t="s">
        <v>461</v>
      </c>
      <c r="J323" s="63" t="s">
        <v>23</v>
      </c>
      <c r="K323" s="63"/>
      <c r="L323" s="63"/>
      <c r="M323" s="43" t="s">
        <v>24</v>
      </c>
      <c r="N323" s="43" t="s">
        <v>141</v>
      </c>
      <c r="O323" s="57">
        <v>46058</v>
      </c>
      <c r="P323" s="57" t="str" cm="1">
        <f t="array" aca="1" ref="P3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3" s="57" t="str" cm="1">
        <f t="array" aca="1" ref="Q3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3" s="43" t="s">
        <v>780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9.5" hidden="1" customHeight="1" x14ac:dyDescent="0.25">
      <c r="A324" s="59">
        <v>319</v>
      </c>
      <c r="B324" s="56"/>
      <c r="C324" s="65" t="s">
        <v>436</v>
      </c>
      <c r="D324" s="56" t="s">
        <v>76</v>
      </c>
      <c r="E324" s="43" t="s">
        <v>781</v>
      </c>
      <c r="F324" s="68" t="s">
        <v>454</v>
      </c>
      <c r="G324" s="43">
        <v>10010267</v>
      </c>
      <c r="H324" s="60" t="s">
        <v>460</v>
      </c>
      <c r="I324" s="63" t="s">
        <v>461</v>
      </c>
      <c r="J324" s="114" t="s">
        <v>23</v>
      </c>
      <c r="K324" s="63"/>
      <c r="L324" s="63"/>
      <c r="M324" s="43" t="s">
        <v>24</v>
      </c>
      <c r="N324" s="41" t="s">
        <v>141</v>
      </c>
      <c r="O324" s="57">
        <v>46058</v>
      </c>
      <c r="P324" s="57" t="str" cm="1">
        <f t="array" aca="1" ref="P3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4" s="57" t="str" cm="1">
        <f t="array" aca="1" ref="Q3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4" s="43" t="s">
        <v>783</v>
      </c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7.25" hidden="1" customHeight="1" x14ac:dyDescent="0.25">
      <c r="A325" s="59">
        <v>320</v>
      </c>
      <c r="B325" s="56"/>
      <c r="C325" s="65" t="s">
        <v>436</v>
      </c>
      <c r="D325" s="56" t="s">
        <v>76</v>
      </c>
      <c r="E325" s="43" t="s">
        <v>782</v>
      </c>
      <c r="F325" s="68" t="s">
        <v>454</v>
      </c>
      <c r="G325" s="43">
        <v>10010267</v>
      </c>
      <c r="H325" s="60" t="s">
        <v>460</v>
      </c>
      <c r="I325" s="63" t="s">
        <v>461</v>
      </c>
      <c r="J325" s="114" t="s">
        <v>23</v>
      </c>
      <c r="K325" s="63"/>
      <c r="L325" s="63"/>
      <c r="M325" s="43" t="s">
        <v>24</v>
      </c>
      <c r="N325" s="41" t="s">
        <v>141</v>
      </c>
      <c r="O325" s="57">
        <v>46058</v>
      </c>
      <c r="P325" s="57" t="str" cm="1">
        <f t="array" aca="1" ref="P3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5" s="57" t="str" cm="1">
        <f t="array" aca="1" ref="Q3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5" s="43" t="s">
        <v>783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2.75" hidden="1" customHeight="1" x14ac:dyDescent="0.25">
      <c r="A326" s="59">
        <v>321</v>
      </c>
      <c r="B326" s="138"/>
      <c r="C326" s="65" t="s">
        <v>436</v>
      </c>
      <c r="D326" s="56" t="s">
        <v>76</v>
      </c>
      <c r="E326" s="43"/>
      <c r="F326" s="68" t="s">
        <v>454</v>
      </c>
      <c r="G326" s="65" t="s">
        <v>455</v>
      </c>
      <c r="H326" s="60" t="s">
        <v>456</v>
      </c>
      <c r="I326" s="63" t="s">
        <v>457</v>
      </c>
      <c r="J326" s="114" t="s">
        <v>424</v>
      </c>
      <c r="K326" s="63"/>
      <c r="L326" s="63"/>
      <c r="M326" s="43" t="s">
        <v>24</v>
      </c>
      <c r="N326" s="41" t="s">
        <v>141</v>
      </c>
      <c r="O326" s="57">
        <v>45630</v>
      </c>
      <c r="P326" s="57" t="str" cm="1">
        <f t="array" aca="1" ref="P3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6" s="57" t="str" cm="1">
        <f t="array" aca="1" ref="Q3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6" s="74" t="s">
        <v>1052</v>
      </c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23.25" hidden="1" customHeight="1" x14ac:dyDescent="0.25">
      <c r="A327" s="59">
        <v>322</v>
      </c>
      <c r="B327" s="56"/>
      <c r="C327" s="65" t="s">
        <v>436</v>
      </c>
      <c r="D327" s="56" t="s">
        <v>76</v>
      </c>
      <c r="E327" s="43"/>
      <c r="F327" s="68" t="s">
        <v>462</v>
      </c>
      <c r="G327" s="56" t="s">
        <v>465</v>
      </c>
      <c r="H327" s="60" t="s">
        <v>466</v>
      </c>
      <c r="I327" s="63" t="s">
        <v>467</v>
      </c>
      <c r="J327" s="114" t="s">
        <v>23</v>
      </c>
      <c r="K327" s="63"/>
      <c r="L327" s="63"/>
      <c r="M327" s="43" t="s">
        <v>24</v>
      </c>
      <c r="N327" s="41" t="s">
        <v>141</v>
      </c>
      <c r="O327" s="57">
        <v>45873</v>
      </c>
      <c r="P327" s="57" t="str" cm="1">
        <f t="array" aca="1" ref="P3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7" s="57" t="str" cm="1">
        <f t="array" aca="1" ref="Q3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7" s="62" t="s">
        <v>1372</v>
      </c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31.5" hidden="1" customHeight="1" x14ac:dyDescent="0.25">
      <c r="A328" s="59">
        <v>323</v>
      </c>
      <c r="B328" s="56"/>
      <c r="C328" s="65" t="s">
        <v>436</v>
      </c>
      <c r="D328" s="56" t="s">
        <v>76</v>
      </c>
      <c r="E328" s="43"/>
      <c r="F328" s="68" t="s">
        <v>462</v>
      </c>
      <c r="G328" s="43" t="s">
        <v>468</v>
      </c>
      <c r="H328" s="60" t="s">
        <v>469</v>
      </c>
      <c r="I328" s="63" t="s">
        <v>470</v>
      </c>
      <c r="J328" s="114" t="s">
        <v>23</v>
      </c>
      <c r="K328" s="63"/>
      <c r="L328" s="63"/>
      <c r="M328" s="43" t="s">
        <v>24</v>
      </c>
      <c r="N328" s="41" t="s">
        <v>141</v>
      </c>
      <c r="O328" s="57">
        <v>45873</v>
      </c>
      <c r="P328" s="57" t="str" cm="1">
        <f t="array" aca="1" ref="P3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8" s="57" t="str" cm="1">
        <f t="array" aca="1" ref="Q3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8" s="74" t="s">
        <v>471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31.5" hidden="1" customHeight="1" x14ac:dyDescent="0.25">
      <c r="A329" s="59">
        <v>324</v>
      </c>
      <c r="B329" s="56"/>
      <c r="C329" s="65" t="s">
        <v>436</v>
      </c>
      <c r="D329" s="56" t="s">
        <v>76</v>
      </c>
      <c r="E329" s="43" t="s">
        <v>472</v>
      </c>
      <c r="F329" s="68" t="s">
        <v>473</v>
      </c>
      <c r="G329" s="43">
        <v>2664</v>
      </c>
      <c r="H329" s="60" t="s">
        <v>474</v>
      </c>
      <c r="I329" s="63" t="s">
        <v>475</v>
      </c>
      <c r="J329" s="114" t="s">
        <v>23</v>
      </c>
      <c r="K329" s="63"/>
      <c r="L329" s="63"/>
      <c r="M329" s="43" t="s">
        <v>24</v>
      </c>
      <c r="N329" s="41" t="s">
        <v>141</v>
      </c>
      <c r="O329" s="57">
        <v>45873</v>
      </c>
      <c r="P329" s="57" t="str" cm="1">
        <f t="array" aca="1" ref="P3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29" s="57" t="str" cm="1">
        <f t="array" aca="1" ref="Q3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29" s="74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31.5" hidden="1" customHeight="1" x14ac:dyDescent="0.25">
      <c r="A330" s="59">
        <v>325</v>
      </c>
      <c r="B330" s="56"/>
      <c r="C330" s="65" t="s">
        <v>436</v>
      </c>
      <c r="D330" s="56" t="s">
        <v>76</v>
      </c>
      <c r="E330" s="43" t="s">
        <v>811</v>
      </c>
      <c r="F330" s="68" t="s">
        <v>473</v>
      </c>
      <c r="G330" s="43">
        <v>4085135</v>
      </c>
      <c r="H330" s="60" t="s">
        <v>812</v>
      </c>
      <c r="I330" s="63" t="s">
        <v>813</v>
      </c>
      <c r="J330" s="114" t="s">
        <v>23</v>
      </c>
      <c r="K330" s="63"/>
      <c r="L330" s="63"/>
      <c r="M330" s="43" t="s">
        <v>24</v>
      </c>
      <c r="N330" s="41" t="s">
        <v>141</v>
      </c>
      <c r="O330" s="57">
        <v>46087</v>
      </c>
      <c r="P330" s="57" t="str" cm="1">
        <f t="array" aca="1" ref="P3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0" s="57" t="str" cm="1">
        <f t="array" aca="1" ref="Q3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0" s="74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22.5" hidden="1" customHeight="1" x14ac:dyDescent="0.25">
      <c r="A331" s="59">
        <v>326</v>
      </c>
      <c r="B331" s="138"/>
      <c r="C331" s="65" t="s">
        <v>436</v>
      </c>
      <c r="D331" s="56" t="s">
        <v>76</v>
      </c>
      <c r="E331" s="63"/>
      <c r="F331" s="63" t="s">
        <v>473</v>
      </c>
      <c r="G331" s="43">
        <v>81742</v>
      </c>
      <c r="H331" s="60" t="s">
        <v>1333</v>
      </c>
      <c r="I331" s="63" t="s">
        <v>1332</v>
      </c>
      <c r="J331" s="114" t="s">
        <v>721</v>
      </c>
      <c r="K331" s="63"/>
      <c r="L331" s="63"/>
      <c r="M331" s="43" t="s">
        <v>24</v>
      </c>
      <c r="N331" s="41" t="s">
        <v>141</v>
      </c>
      <c r="O331" s="57"/>
      <c r="P331" s="57"/>
      <c r="Q331" s="57" t="str" cm="1">
        <f t="array" aca="1" ref="Q3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1" s="74" t="s">
        <v>619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22.5" hidden="1" customHeight="1" x14ac:dyDescent="0.25">
      <c r="A332" s="59">
        <v>327</v>
      </c>
      <c r="B332" s="56"/>
      <c r="C332" s="65" t="s">
        <v>436</v>
      </c>
      <c r="D332" s="56" t="s">
        <v>76</v>
      </c>
      <c r="E332" s="43" t="s">
        <v>1133</v>
      </c>
      <c r="F332" s="68" t="s">
        <v>473</v>
      </c>
      <c r="G332" s="43">
        <v>3641</v>
      </c>
      <c r="H332" s="60" t="s">
        <v>970</v>
      </c>
      <c r="I332" s="63" t="s">
        <v>971</v>
      </c>
      <c r="J332" s="63" t="s">
        <v>23</v>
      </c>
      <c r="K332" s="63"/>
      <c r="L332" s="63"/>
      <c r="M332" s="43" t="s">
        <v>24</v>
      </c>
      <c r="N332" s="41" t="s">
        <v>141</v>
      </c>
      <c r="O332" s="57">
        <v>46098</v>
      </c>
      <c r="P332" s="57" t="str" cm="1">
        <f t="array" aca="1" ref="P3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2" s="57" t="str" cm="1">
        <f t="array" aca="1" ref="Q3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2" s="74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22.5" hidden="1" customHeight="1" x14ac:dyDescent="0.25">
      <c r="A333" s="59">
        <v>328</v>
      </c>
      <c r="B333" s="56"/>
      <c r="C333" s="65" t="s">
        <v>436</v>
      </c>
      <c r="D333" s="56" t="s">
        <v>76</v>
      </c>
      <c r="E333" s="43" t="s">
        <v>476</v>
      </c>
      <c r="F333" s="68" t="s">
        <v>477</v>
      </c>
      <c r="G333" s="63"/>
      <c r="H333" s="60" t="s">
        <v>1272</v>
      </c>
      <c r="I333" s="63" t="s">
        <v>479</v>
      </c>
      <c r="J333" s="114" t="s">
        <v>23</v>
      </c>
      <c r="K333" s="63"/>
      <c r="L333" s="63"/>
      <c r="M333" s="43" t="s">
        <v>24</v>
      </c>
      <c r="N333" s="41" t="s">
        <v>141</v>
      </c>
      <c r="O333" s="57">
        <v>46134</v>
      </c>
      <c r="P333" s="57" t="str" cm="1">
        <f t="array" aca="1" ref="P3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3" s="57" t="str" cm="1">
        <f t="array" aca="1" ref="Q3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3" s="43" t="s">
        <v>1053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23.25" hidden="1" customHeight="1" x14ac:dyDescent="0.25">
      <c r="A334" s="59">
        <v>329</v>
      </c>
      <c r="B334" s="56"/>
      <c r="C334" s="65" t="s">
        <v>436</v>
      </c>
      <c r="D334" s="56" t="s">
        <v>76</v>
      </c>
      <c r="E334" s="43" t="s">
        <v>1271</v>
      </c>
      <c r="F334" s="68" t="s">
        <v>477</v>
      </c>
      <c r="G334" s="63" t="s">
        <v>1273</v>
      </c>
      <c r="H334" s="60" t="s">
        <v>1272</v>
      </c>
      <c r="I334" s="63" t="s">
        <v>479</v>
      </c>
      <c r="J334" s="114" t="s">
        <v>23</v>
      </c>
      <c r="K334" s="63"/>
      <c r="L334" s="63"/>
      <c r="M334" s="43" t="s">
        <v>24</v>
      </c>
      <c r="N334" s="41" t="s">
        <v>141</v>
      </c>
      <c r="O334" s="57">
        <v>46174</v>
      </c>
      <c r="P334" s="57" t="str" cm="1">
        <f t="array" aca="1" ref="P3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4" s="57" t="str" cm="1">
        <f t="array" aca="1" ref="Q3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4" s="6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23.25" hidden="1" customHeight="1" x14ac:dyDescent="0.25">
      <c r="A335" s="59">
        <v>330</v>
      </c>
      <c r="B335" s="56"/>
      <c r="C335" s="65" t="s">
        <v>436</v>
      </c>
      <c r="D335" s="56" t="s">
        <v>76</v>
      </c>
      <c r="E335" s="43" t="s">
        <v>480</v>
      </c>
      <c r="F335" s="68" t="s">
        <v>481</v>
      </c>
      <c r="G335" s="56" t="s">
        <v>482</v>
      </c>
      <c r="H335" s="60" t="s">
        <v>483</v>
      </c>
      <c r="I335" s="63" t="s">
        <v>484</v>
      </c>
      <c r="J335" s="114" t="s">
        <v>23</v>
      </c>
      <c r="K335" s="63"/>
      <c r="L335" s="63"/>
      <c r="M335" s="43" t="s">
        <v>24</v>
      </c>
      <c r="N335" s="41" t="s">
        <v>141</v>
      </c>
      <c r="O335" s="57">
        <v>45938</v>
      </c>
      <c r="P335" s="57" t="str" cm="1">
        <f t="array" aca="1" ref="P3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5" s="57" t="str" cm="1">
        <f t="array" aca="1" ref="Q3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5" s="74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37.5" hidden="1" customHeight="1" x14ac:dyDescent="0.25">
      <c r="A336" s="59">
        <v>331</v>
      </c>
      <c r="B336" s="56"/>
      <c r="C336" s="65" t="s">
        <v>436</v>
      </c>
      <c r="D336" s="56" t="s">
        <v>76</v>
      </c>
      <c r="E336" s="43" t="s">
        <v>1316</v>
      </c>
      <c r="F336" s="65" t="s">
        <v>481</v>
      </c>
      <c r="G336" s="56" t="s">
        <v>1317</v>
      </c>
      <c r="H336" s="60" t="s">
        <v>1318</v>
      </c>
      <c r="I336" s="63" t="s">
        <v>1319</v>
      </c>
      <c r="J336" s="114" t="s">
        <v>23</v>
      </c>
      <c r="K336" s="63"/>
      <c r="L336" s="63"/>
      <c r="M336" s="43" t="s">
        <v>24</v>
      </c>
      <c r="N336" s="41" t="s">
        <v>141</v>
      </c>
      <c r="O336" s="57">
        <v>46185</v>
      </c>
      <c r="P336" s="57" t="str" cm="1">
        <f t="array" aca="1" ref="P3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6" s="57" t="str" cm="1">
        <f t="array" aca="1" ref="Q3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6" s="74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37.5" hidden="1" customHeight="1" x14ac:dyDescent="0.25">
      <c r="A337" s="59">
        <v>332</v>
      </c>
      <c r="B337" s="56"/>
      <c r="C337" s="65" t="s">
        <v>436</v>
      </c>
      <c r="D337" s="56" t="s">
        <v>76</v>
      </c>
      <c r="E337" s="43" t="s">
        <v>485</v>
      </c>
      <c r="F337" s="65" t="s">
        <v>486</v>
      </c>
      <c r="G337" s="43" t="s">
        <v>487</v>
      </c>
      <c r="H337" s="60" t="s">
        <v>488</v>
      </c>
      <c r="I337" s="63" t="s">
        <v>489</v>
      </c>
      <c r="J337" s="114" t="s">
        <v>23</v>
      </c>
      <c r="K337" s="63"/>
      <c r="L337" s="63"/>
      <c r="M337" s="43" t="s">
        <v>24</v>
      </c>
      <c r="N337" s="41" t="s">
        <v>141</v>
      </c>
      <c r="O337" s="57">
        <v>46185</v>
      </c>
      <c r="P337" s="57" t="str" cm="1">
        <f t="array" aca="1" ref="P3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7" s="57" t="str" cm="1">
        <f t="array" aca="1" ref="Q3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7" s="43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idden="1" x14ac:dyDescent="0.25">
      <c r="A338" s="59">
        <v>333</v>
      </c>
      <c r="B338" s="56"/>
      <c r="C338" s="65" t="s">
        <v>436</v>
      </c>
      <c r="D338" s="56" t="s">
        <v>76</v>
      </c>
      <c r="E338" s="43" t="s">
        <v>1025</v>
      </c>
      <c r="F338" s="63" t="s">
        <v>486</v>
      </c>
      <c r="G338" s="43" t="s">
        <v>1023</v>
      </c>
      <c r="H338" s="60" t="s">
        <v>1024</v>
      </c>
      <c r="I338" s="63"/>
      <c r="J338" s="114" t="s">
        <v>23</v>
      </c>
      <c r="K338" s="63"/>
      <c r="L338" s="63"/>
      <c r="M338" s="43" t="s">
        <v>24</v>
      </c>
      <c r="N338" s="41" t="s">
        <v>141</v>
      </c>
      <c r="O338" s="57">
        <v>46102</v>
      </c>
      <c r="P338" s="57" t="str" cm="1">
        <f t="array" aca="1" ref="P3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8" s="57" t="str" cm="1">
        <f t="array" aca="1" ref="Q3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8" s="74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36" hidden="1" x14ac:dyDescent="0.25">
      <c r="A339" s="59">
        <v>334</v>
      </c>
      <c r="B339" s="56"/>
      <c r="C339" s="65" t="s">
        <v>436</v>
      </c>
      <c r="D339" s="56" t="s">
        <v>76</v>
      </c>
      <c r="E339" s="43" t="s">
        <v>1147</v>
      </c>
      <c r="F339" s="63" t="s">
        <v>491</v>
      </c>
      <c r="G339" s="43" t="s">
        <v>492</v>
      </c>
      <c r="H339" s="60" t="s">
        <v>493</v>
      </c>
      <c r="I339" s="63" t="s">
        <v>494</v>
      </c>
      <c r="J339" s="114" t="s">
        <v>441</v>
      </c>
      <c r="K339" s="63"/>
      <c r="L339" s="63"/>
      <c r="M339" s="43" t="s">
        <v>24</v>
      </c>
      <c r="N339" s="41" t="s">
        <v>141</v>
      </c>
      <c r="O339" s="57">
        <v>45990</v>
      </c>
      <c r="P339" s="57" t="str" cm="1">
        <f t="array" aca="1" ref="P3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39" s="57" t="str" cm="1">
        <f t="array" aca="1" ref="Q3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39" s="74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24" hidden="1" x14ac:dyDescent="0.25">
      <c r="A340" s="59">
        <v>335</v>
      </c>
      <c r="B340" s="138"/>
      <c r="C340" s="65" t="s">
        <v>436</v>
      </c>
      <c r="D340" s="56" t="s">
        <v>76</v>
      </c>
      <c r="E340" s="43" t="s">
        <v>495</v>
      </c>
      <c r="F340" s="63" t="s">
        <v>491</v>
      </c>
      <c r="G340" s="43" t="s">
        <v>496</v>
      </c>
      <c r="H340" s="60" t="s">
        <v>497</v>
      </c>
      <c r="I340" s="63" t="s">
        <v>494</v>
      </c>
      <c r="J340" s="114" t="s">
        <v>441</v>
      </c>
      <c r="K340" s="63"/>
      <c r="L340" s="63"/>
      <c r="M340" s="43" t="s">
        <v>24</v>
      </c>
      <c r="N340" s="41" t="s">
        <v>141</v>
      </c>
      <c r="O340" s="57">
        <v>45775</v>
      </c>
      <c r="P340" s="57" t="str" cm="1">
        <f t="array" aca="1" ref="P3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0" s="57" t="str" cm="1">
        <f t="array" aca="1" ref="Q3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0" s="74" t="s">
        <v>1214</v>
      </c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36" hidden="1" x14ac:dyDescent="0.25">
      <c r="A341" s="59">
        <v>336</v>
      </c>
      <c r="B341" s="56"/>
      <c r="C341" s="65" t="s">
        <v>436</v>
      </c>
      <c r="D341" s="56" t="s">
        <v>76</v>
      </c>
      <c r="E341" s="43" t="s">
        <v>624</v>
      </c>
      <c r="F341" s="63" t="s">
        <v>491</v>
      </c>
      <c r="G341" s="43" t="s">
        <v>378</v>
      </c>
      <c r="H341" s="60" t="s">
        <v>625</v>
      </c>
      <c r="I341" s="63" t="s">
        <v>494</v>
      </c>
      <c r="J341" s="114" t="s">
        <v>441</v>
      </c>
      <c r="K341" s="63"/>
      <c r="L341" s="63"/>
      <c r="M341" s="43" t="s">
        <v>24</v>
      </c>
      <c r="N341" s="41" t="s">
        <v>141</v>
      </c>
      <c r="O341" s="57">
        <v>45990</v>
      </c>
      <c r="P341" s="57" t="str" cm="1">
        <f t="array" aca="1" ref="P3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1" s="57" t="str" cm="1">
        <f t="array" aca="1" ref="Q3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1" s="74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27.75" hidden="1" customHeight="1" x14ac:dyDescent="0.25">
      <c r="A342" s="59">
        <v>337</v>
      </c>
      <c r="B342" s="56"/>
      <c r="C342" s="65" t="s">
        <v>436</v>
      </c>
      <c r="D342" s="56" t="s">
        <v>76</v>
      </c>
      <c r="E342" s="43" t="s">
        <v>499</v>
      </c>
      <c r="F342" s="63" t="s">
        <v>498</v>
      </c>
      <c r="G342" s="72" t="s">
        <v>610</v>
      </c>
      <c r="H342" s="60" t="s">
        <v>501</v>
      </c>
      <c r="I342" s="63" t="s">
        <v>502</v>
      </c>
      <c r="J342" s="114" t="s">
        <v>23</v>
      </c>
      <c r="K342" s="63"/>
      <c r="L342" s="63"/>
      <c r="M342" s="43" t="s">
        <v>24</v>
      </c>
      <c r="N342" s="41" t="s">
        <v>141</v>
      </c>
      <c r="O342" s="57">
        <v>46085</v>
      </c>
      <c r="P342" s="57" t="str" cm="1">
        <f t="array" aca="1" ref="P3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2" s="57" t="str" cm="1">
        <f t="array" aca="1" ref="Q3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2" s="74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22.5" hidden="1" customHeight="1" x14ac:dyDescent="0.25">
      <c r="A343" s="59">
        <v>338</v>
      </c>
      <c r="B343" s="56"/>
      <c r="C343" s="65" t="s">
        <v>436</v>
      </c>
      <c r="D343" s="56" t="s">
        <v>76</v>
      </c>
      <c r="E343" s="43" t="s">
        <v>503</v>
      </c>
      <c r="F343" s="63" t="s">
        <v>504</v>
      </c>
      <c r="G343" s="73" t="s">
        <v>439</v>
      </c>
      <c r="H343" s="60" t="s">
        <v>440</v>
      </c>
      <c r="I343" s="63" t="s">
        <v>505</v>
      </c>
      <c r="J343" s="114" t="s">
        <v>441</v>
      </c>
      <c r="K343" s="63"/>
      <c r="L343" s="63"/>
      <c r="M343" s="43" t="s">
        <v>24</v>
      </c>
      <c r="N343" s="41" t="s">
        <v>141</v>
      </c>
      <c r="O343" s="57">
        <v>46134</v>
      </c>
      <c r="P343" s="57" t="str" cm="1">
        <f t="array" aca="1" ref="P3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3" s="57" t="str" cm="1">
        <f t="array" aca="1" ref="Q3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3" s="43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23.25" hidden="1" customHeight="1" x14ac:dyDescent="0.25">
      <c r="A344" s="59">
        <v>339</v>
      </c>
      <c r="B344" s="56"/>
      <c r="C344" s="65" t="s">
        <v>436</v>
      </c>
      <c r="D344" s="56" t="s">
        <v>76</v>
      </c>
      <c r="E344" s="43" t="s">
        <v>437</v>
      </c>
      <c r="F344" s="63" t="s">
        <v>438</v>
      </c>
      <c r="G344" s="72" t="s">
        <v>439</v>
      </c>
      <c r="H344" s="60" t="s">
        <v>440</v>
      </c>
      <c r="I344" s="63" t="s">
        <v>505</v>
      </c>
      <c r="J344" s="114" t="s">
        <v>441</v>
      </c>
      <c r="K344" s="63"/>
      <c r="L344" s="63"/>
      <c r="M344" s="43" t="s">
        <v>24</v>
      </c>
      <c r="N344" s="41" t="s">
        <v>141</v>
      </c>
      <c r="O344" s="57">
        <v>46134</v>
      </c>
      <c r="P344" s="57" t="str" cm="1">
        <f t="array" aca="1" ref="P3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Q344" s="57" t="str" cm="1">
        <f t="array" aca="1" ref="Q3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4" s="74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2.75" hidden="1" customHeight="1" x14ac:dyDescent="0.25">
      <c r="A345" s="59"/>
      <c r="B345" s="56"/>
      <c r="C345" s="16"/>
      <c r="D345" s="16"/>
      <c r="E345" s="99"/>
      <c r="F345" s="99"/>
      <c r="G345" s="22"/>
      <c r="H345" s="23"/>
      <c r="I345" s="99"/>
      <c r="J345" s="99"/>
      <c r="K345" s="99"/>
      <c r="L345" s="99"/>
      <c r="M345" s="22"/>
      <c r="N345" s="22"/>
      <c r="O345" s="20"/>
      <c r="P345" s="20" t="str">
        <f t="array" aca="1" ref="P345" ca="1">IFERROR(IFS(REGISTRO!$M345="ANUAL",REGISTRO!$O345+365,REGISTRO!$M345="SEMESTRAL",REGISTRO!$O345+183,REGISTRO!$M345="QUINCENAL",REGISTRO!$O345+15), "")</f>
        <v/>
      </c>
      <c r="Q345" s="20" t="str" cm="1">
        <f t="array" aca="1" ref="Q3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5" s="24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2.75" hidden="1" customHeight="1" x14ac:dyDescent="0.25">
      <c r="A346" s="59"/>
      <c r="B346" s="56"/>
      <c r="C346" s="16"/>
      <c r="D346" s="16"/>
      <c r="E346" s="99"/>
      <c r="F346" s="99"/>
      <c r="G346" s="22"/>
      <c r="H346" s="23"/>
      <c r="I346" s="99"/>
      <c r="J346" s="99"/>
      <c r="K346" s="99"/>
      <c r="L346" s="99"/>
      <c r="M346" s="22"/>
      <c r="N346" s="22"/>
      <c r="O346" s="20"/>
      <c r="P346" s="20" t="str">
        <f t="array" aca="1" ref="P346" ca="1">IFERROR(IFS(REGISTRO!$M346="ANUAL",REGISTRO!$O346+365,REGISTRO!$M346="SEMESTRAL",REGISTRO!$O346+183,REGISTRO!$M346="QUINCENAL",REGISTRO!$O346+15), "")</f>
        <v/>
      </c>
      <c r="Q346" s="20" t="str" cm="1">
        <f t="array" aca="1" ref="Q3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6" s="24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2.75" hidden="1" customHeight="1" x14ac:dyDescent="0.25">
      <c r="A347" s="59"/>
      <c r="B347" s="56"/>
      <c r="C347" s="16"/>
      <c r="D347" s="16"/>
      <c r="E347" s="99"/>
      <c r="F347" s="99"/>
      <c r="G347" s="22"/>
      <c r="H347" s="23"/>
      <c r="I347" s="99"/>
      <c r="J347" s="99"/>
      <c r="K347" s="99"/>
      <c r="L347" s="99"/>
      <c r="M347" s="22"/>
      <c r="N347" s="22"/>
      <c r="O347" s="20"/>
      <c r="P347" s="20" t="str">
        <f t="array" aca="1" ref="P347" ca="1">IFERROR(IFS(REGISTRO!$M347="ANUAL",REGISTRO!$O347+365,REGISTRO!$M347="SEMESTRAL",REGISTRO!$O347+183,REGISTRO!$M347="QUINCENAL",REGISTRO!$O347+15), "")</f>
        <v/>
      </c>
      <c r="Q347" s="20" t="str" cm="1">
        <f t="array" aca="1" ref="Q3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7" s="24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2.75" hidden="1" customHeight="1" x14ac:dyDescent="0.25">
      <c r="A348" s="59"/>
      <c r="B348" s="56"/>
      <c r="C348" s="16"/>
      <c r="D348" s="16"/>
      <c r="E348" s="99"/>
      <c r="F348" s="99"/>
      <c r="G348" s="22"/>
      <c r="H348" s="23"/>
      <c r="I348" s="99"/>
      <c r="J348" s="99"/>
      <c r="K348" s="99"/>
      <c r="L348" s="99"/>
      <c r="M348" s="22"/>
      <c r="N348" s="22"/>
      <c r="O348" s="20"/>
      <c r="P348" s="20" t="str">
        <f t="array" aca="1" ref="P348" ca="1">IFERROR(IFS(REGISTRO!$M348="ANUAL",REGISTRO!$O348+365,REGISTRO!$M348="SEMESTRAL",REGISTRO!$O348+183,REGISTRO!$M348="QUINCENAL",REGISTRO!$O348+15), "")</f>
        <v/>
      </c>
      <c r="Q348" s="20" t="str" cm="1">
        <f t="array" aca="1" ref="Q3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8" s="24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2.75" hidden="1" customHeight="1" x14ac:dyDescent="0.25">
      <c r="A349" s="59"/>
      <c r="B349" s="56"/>
      <c r="C349" s="16"/>
      <c r="D349" s="16"/>
      <c r="E349" s="99"/>
      <c r="F349" s="99"/>
      <c r="G349" s="22"/>
      <c r="H349" s="23"/>
      <c r="I349" s="99"/>
      <c r="J349" s="99"/>
      <c r="K349" s="99"/>
      <c r="L349" s="99"/>
      <c r="M349" s="22"/>
      <c r="N349" s="22"/>
      <c r="O349" s="20"/>
      <c r="P349" s="20" t="str">
        <f t="array" aca="1" ref="P349" ca="1">IFERROR(IFS(REGISTRO!$M349="ANUAL",REGISTRO!$O349+365,REGISTRO!$M349="SEMESTRAL",REGISTRO!$O349+183,REGISTRO!$M349="QUINCENAL",REGISTRO!$O349+15), "")</f>
        <v/>
      </c>
      <c r="Q349" s="20" t="str" cm="1">
        <f t="array" aca="1" ref="Q3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49" s="24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2.75" hidden="1" customHeight="1" x14ac:dyDescent="0.25">
      <c r="A350" s="59"/>
      <c r="B350" s="56"/>
      <c r="C350" s="16"/>
      <c r="D350" s="16"/>
      <c r="E350" s="99"/>
      <c r="F350" s="99"/>
      <c r="G350" s="22"/>
      <c r="H350" s="23"/>
      <c r="I350" s="99"/>
      <c r="J350" s="99"/>
      <c r="K350" s="99"/>
      <c r="L350" s="99"/>
      <c r="M350" s="22"/>
      <c r="N350" s="22"/>
      <c r="O350" s="20"/>
      <c r="P350" s="20" t="str">
        <f t="array" aca="1" ref="P350" ca="1">IFERROR(IFS(REGISTRO!$M350="ANUAL",REGISTRO!$O350+365,REGISTRO!$M350="SEMESTRAL",REGISTRO!$O350+183,REGISTRO!$M350="QUINCENAL",REGISTRO!$O350+15), "")</f>
        <v/>
      </c>
      <c r="Q350" s="20" t="str" cm="1">
        <f t="array" aca="1" ref="Q3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0" s="24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2.75" hidden="1" customHeight="1" x14ac:dyDescent="0.25">
      <c r="A351" s="59"/>
      <c r="B351" s="56"/>
      <c r="C351" s="16"/>
      <c r="D351" s="16"/>
      <c r="E351" s="99"/>
      <c r="F351" s="99"/>
      <c r="G351" s="22"/>
      <c r="H351" s="23"/>
      <c r="I351" s="99"/>
      <c r="J351" s="99"/>
      <c r="K351" s="99"/>
      <c r="L351" s="99"/>
      <c r="M351" s="22"/>
      <c r="N351" s="22"/>
      <c r="O351" s="20"/>
      <c r="P351" s="20" t="str">
        <f t="array" aca="1" ref="P351" ca="1">IFERROR(IFS(REGISTRO!$M351="ANUAL",REGISTRO!$O351+365,REGISTRO!$M351="SEMESTRAL",REGISTRO!$O351+183,REGISTRO!$M351="QUINCENAL",REGISTRO!$O351+15), "")</f>
        <v/>
      </c>
      <c r="Q351" s="20" t="str" cm="1">
        <f t="array" aca="1" ref="Q3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1" s="24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2.75" hidden="1" customHeight="1" x14ac:dyDescent="0.25">
      <c r="A352" s="59"/>
      <c r="B352" s="56"/>
      <c r="C352" s="16"/>
      <c r="D352" s="16"/>
      <c r="E352" s="99"/>
      <c r="F352" s="99"/>
      <c r="G352" s="22"/>
      <c r="H352" s="23"/>
      <c r="I352" s="99"/>
      <c r="J352" s="99"/>
      <c r="K352" s="99"/>
      <c r="L352" s="99"/>
      <c r="M352" s="22"/>
      <c r="N352" s="22"/>
      <c r="O352" s="20"/>
      <c r="P352" s="20" t="str">
        <f t="array" aca="1" ref="P352" ca="1">IFERROR(IFS(REGISTRO!$M352="ANUAL",REGISTRO!$O352+365,REGISTRO!$M352="SEMESTRAL",REGISTRO!$O352+183,REGISTRO!$M352="QUINCENAL",REGISTRO!$O352+15), "")</f>
        <v/>
      </c>
      <c r="Q352" s="20" t="str" cm="1">
        <f t="array" aca="1" ref="Q3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2" s="24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2.75" hidden="1" customHeight="1" x14ac:dyDescent="0.25">
      <c r="A353" s="59"/>
      <c r="B353" s="56"/>
      <c r="C353" s="16"/>
      <c r="D353" s="16"/>
      <c r="E353" s="99"/>
      <c r="F353" s="99"/>
      <c r="G353" s="22"/>
      <c r="H353" s="23"/>
      <c r="I353" s="99"/>
      <c r="J353" s="99"/>
      <c r="K353" s="99"/>
      <c r="L353" s="99"/>
      <c r="M353" s="22"/>
      <c r="N353" s="22"/>
      <c r="O353" s="20"/>
      <c r="P353" s="20" t="str">
        <f t="array" aca="1" ref="P353" ca="1">IFERROR(IFS(REGISTRO!$M353="ANUAL",REGISTRO!$O353+365,REGISTRO!$M353="SEMESTRAL",REGISTRO!$O353+183,REGISTRO!$M353="QUINCENAL",REGISTRO!$O353+15), "")</f>
        <v/>
      </c>
      <c r="Q353" s="20" t="str" cm="1">
        <f t="array" aca="1" ref="Q3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3" s="24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2.75" hidden="1" customHeight="1" x14ac:dyDescent="0.25">
      <c r="A354" s="59"/>
      <c r="B354" s="56"/>
      <c r="C354" s="16"/>
      <c r="D354" s="16"/>
      <c r="E354" s="99"/>
      <c r="F354" s="99"/>
      <c r="G354" s="22"/>
      <c r="H354" s="23"/>
      <c r="I354" s="99"/>
      <c r="J354" s="99"/>
      <c r="K354" s="99"/>
      <c r="L354" s="99"/>
      <c r="M354" s="22"/>
      <c r="N354" s="22"/>
      <c r="O354" s="20"/>
      <c r="P354" s="20" t="str">
        <f t="array" aca="1" ref="P354" ca="1">IFERROR(IFS(REGISTRO!$M354="ANUAL",REGISTRO!$O354+365,REGISTRO!$M354="SEMESTRAL",REGISTRO!$O354+183,REGISTRO!$M354="QUINCENAL",REGISTRO!$O354+15), "")</f>
        <v/>
      </c>
      <c r="Q354" s="20" t="str" cm="1">
        <f t="array" aca="1" ref="Q3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4" s="24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2.75" hidden="1" customHeight="1" x14ac:dyDescent="0.25">
      <c r="A355" s="59"/>
      <c r="B355" s="56"/>
      <c r="C355" s="16"/>
      <c r="D355" s="16"/>
      <c r="E355" s="99"/>
      <c r="F355" s="99"/>
      <c r="G355" s="22"/>
      <c r="H355" s="23"/>
      <c r="I355" s="99"/>
      <c r="J355" s="99"/>
      <c r="K355" s="99"/>
      <c r="L355" s="99"/>
      <c r="M355" s="22"/>
      <c r="N355" s="22"/>
      <c r="O355" s="20"/>
      <c r="P355" s="20" t="str">
        <f t="array" aca="1" ref="P355" ca="1">IFERROR(IFS(REGISTRO!$M355="ANUAL",REGISTRO!$O355+365,REGISTRO!$M355="SEMESTRAL",REGISTRO!$O355+183,REGISTRO!$M355="QUINCENAL",REGISTRO!$O355+15), "")</f>
        <v/>
      </c>
      <c r="Q355" s="20" t="str" cm="1">
        <f t="array" aca="1" ref="Q3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5" s="24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2.75" hidden="1" customHeight="1" x14ac:dyDescent="0.25">
      <c r="A356" s="59"/>
      <c r="B356" s="56"/>
      <c r="C356" s="16"/>
      <c r="D356" s="16"/>
      <c r="E356" s="99"/>
      <c r="F356" s="99"/>
      <c r="G356" s="22"/>
      <c r="H356" s="23"/>
      <c r="I356" s="99"/>
      <c r="J356" s="99"/>
      <c r="K356" s="99"/>
      <c r="L356" s="99"/>
      <c r="M356" s="22"/>
      <c r="N356" s="22"/>
      <c r="O356" s="20"/>
      <c r="P356" s="20" t="str">
        <f t="array" aca="1" ref="P356" ca="1">IFERROR(IFS(REGISTRO!$M356="ANUAL",REGISTRO!$O356+365,REGISTRO!$M356="SEMESTRAL",REGISTRO!$O356+183,REGISTRO!$M356="QUINCENAL",REGISTRO!$O356+15), "")</f>
        <v/>
      </c>
      <c r="Q356" s="20" t="str" cm="1">
        <f t="array" aca="1" ref="Q3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6" s="24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2.75" hidden="1" customHeight="1" x14ac:dyDescent="0.25">
      <c r="A357" s="59"/>
      <c r="B357" s="56"/>
      <c r="C357" s="16"/>
      <c r="D357" s="16"/>
      <c r="E357" s="99"/>
      <c r="F357" s="99"/>
      <c r="G357" s="22"/>
      <c r="H357" s="23"/>
      <c r="I357" s="99"/>
      <c r="J357" s="99"/>
      <c r="K357" s="99"/>
      <c r="L357" s="99"/>
      <c r="M357" s="22"/>
      <c r="N357" s="22"/>
      <c r="O357" s="20"/>
      <c r="P357" s="20" t="str">
        <f t="array" aca="1" ref="P357" ca="1">IFERROR(IFS(REGISTRO!$M357="ANUAL",REGISTRO!$O357+365,REGISTRO!$M357="SEMESTRAL",REGISTRO!$O357+183,REGISTRO!$M357="QUINCENAL",REGISTRO!$O357+15), "")</f>
        <v/>
      </c>
      <c r="Q357" s="20" t="str" cm="1">
        <f t="array" aca="1" ref="Q3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7" s="24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2.75" hidden="1" customHeight="1" x14ac:dyDescent="0.25">
      <c r="A358" s="59"/>
      <c r="B358" s="56"/>
      <c r="C358" s="16"/>
      <c r="D358" s="16"/>
      <c r="E358" s="99"/>
      <c r="F358" s="99"/>
      <c r="G358" s="22"/>
      <c r="H358" s="23"/>
      <c r="I358" s="99"/>
      <c r="J358" s="99"/>
      <c r="K358" s="99"/>
      <c r="L358" s="99"/>
      <c r="M358" s="22"/>
      <c r="N358" s="22"/>
      <c r="O358" s="20"/>
      <c r="P358" s="20" t="str">
        <f t="array" aca="1" ref="P358" ca="1">IFERROR(IFS(REGISTRO!$M358="ANUAL",REGISTRO!$O358+365,REGISTRO!$M358="SEMESTRAL",REGISTRO!$O358+183,REGISTRO!$M358="QUINCENAL",REGISTRO!$O358+15), "")</f>
        <v/>
      </c>
      <c r="Q358" s="20" t="str" cm="1">
        <f t="array" aca="1" ref="Q3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8" s="24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2.75" hidden="1" customHeight="1" x14ac:dyDescent="0.25">
      <c r="A359" s="59"/>
      <c r="B359" s="56"/>
      <c r="C359" s="16"/>
      <c r="D359" s="16"/>
      <c r="E359" s="99"/>
      <c r="F359" s="99"/>
      <c r="G359" s="22"/>
      <c r="H359" s="23"/>
      <c r="I359" s="99"/>
      <c r="J359" s="99"/>
      <c r="K359" s="99"/>
      <c r="L359" s="99"/>
      <c r="M359" s="22"/>
      <c r="N359" s="22"/>
      <c r="O359" s="20"/>
      <c r="P359" s="20" t="str">
        <f t="array" aca="1" ref="P359" ca="1">IFERROR(IFS(REGISTRO!$M359="ANUAL",REGISTRO!$O359+365,REGISTRO!$M359="SEMESTRAL",REGISTRO!$O359+183,REGISTRO!$M359="QUINCENAL",REGISTRO!$O359+15), "")</f>
        <v/>
      </c>
      <c r="Q359" s="20" t="str" cm="1">
        <f t="array" aca="1" ref="Q3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59" s="24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2.75" hidden="1" customHeight="1" x14ac:dyDescent="0.25">
      <c r="A360" s="59"/>
      <c r="B360" s="56"/>
      <c r="C360" s="16"/>
      <c r="D360" s="16"/>
      <c r="E360" s="99"/>
      <c r="F360" s="99"/>
      <c r="G360" s="22"/>
      <c r="H360" s="23"/>
      <c r="I360" s="99"/>
      <c r="J360" s="99"/>
      <c r="K360" s="99"/>
      <c r="L360" s="99"/>
      <c r="M360" s="22"/>
      <c r="N360" s="22"/>
      <c r="O360" s="20"/>
      <c r="P360" s="20" t="str">
        <f t="array" aca="1" ref="P360" ca="1">IFERROR(IFS(REGISTRO!$M360="ANUAL",REGISTRO!$O360+365,REGISTRO!$M360="SEMESTRAL",REGISTRO!$O360+183,REGISTRO!$M360="QUINCENAL",REGISTRO!$O360+15), "")</f>
        <v/>
      </c>
      <c r="Q360" s="20" t="str" cm="1">
        <f t="array" aca="1" ref="Q3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0" s="24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2.75" hidden="1" customHeight="1" x14ac:dyDescent="0.25">
      <c r="A361" s="59"/>
      <c r="B361" s="56"/>
      <c r="C361" s="16"/>
      <c r="D361" s="16"/>
      <c r="E361" s="99"/>
      <c r="F361" s="99"/>
      <c r="G361" s="22"/>
      <c r="H361" s="23"/>
      <c r="I361" s="99"/>
      <c r="J361" s="99"/>
      <c r="K361" s="99"/>
      <c r="L361" s="99"/>
      <c r="M361" s="22"/>
      <c r="N361" s="22"/>
      <c r="O361" s="20"/>
      <c r="P361" s="20" t="str">
        <f t="array" aca="1" ref="P361" ca="1">IFERROR(IFS(REGISTRO!$M361="ANUAL",REGISTRO!$O361+365,REGISTRO!$M361="SEMESTRAL",REGISTRO!$O361+183,REGISTRO!$M361="QUINCENAL",REGISTRO!$O361+15), "")</f>
        <v/>
      </c>
      <c r="Q361" s="20" t="str" cm="1">
        <f t="array" aca="1" ref="Q3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1" s="24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2.75" hidden="1" customHeight="1" x14ac:dyDescent="0.25">
      <c r="A362" s="59"/>
      <c r="B362" s="56"/>
      <c r="C362" s="16"/>
      <c r="D362" s="16"/>
      <c r="E362" s="99"/>
      <c r="F362" s="99"/>
      <c r="G362" s="22"/>
      <c r="H362" s="23"/>
      <c r="I362" s="99"/>
      <c r="J362" s="99"/>
      <c r="K362" s="99"/>
      <c r="L362" s="99"/>
      <c r="M362" s="22"/>
      <c r="N362" s="22"/>
      <c r="O362" s="20"/>
      <c r="P362" s="20" t="str">
        <f t="array" aca="1" ref="P362" ca="1">IFERROR(IFS(REGISTRO!$M362="ANUAL",REGISTRO!$O362+365,REGISTRO!$M362="SEMESTRAL",REGISTRO!$O362+183,REGISTRO!$M362="QUINCENAL",REGISTRO!$O362+15), "")</f>
        <v/>
      </c>
      <c r="Q362" s="20" t="str" cm="1">
        <f t="array" aca="1" ref="Q3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2" s="24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2.75" hidden="1" customHeight="1" x14ac:dyDescent="0.25">
      <c r="A363" s="59"/>
      <c r="B363" s="56"/>
      <c r="C363" s="16"/>
      <c r="D363" s="16"/>
      <c r="E363" s="99"/>
      <c r="F363" s="99"/>
      <c r="G363" s="22"/>
      <c r="H363" s="23"/>
      <c r="I363" s="99"/>
      <c r="J363" s="99"/>
      <c r="K363" s="99"/>
      <c r="L363" s="99"/>
      <c r="M363" s="22"/>
      <c r="N363" s="22"/>
      <c r="O363" s="20"/>
      <c r="P363" s="20" t="str">
        <f t="array" aca="1" ref="P363" ca="1">IFERROR(IFS(REGISTRO!$M363="ANUAL",REGISTRO!$O363+365,REGISTRO!$M363="SEMESTRAL",REGISTRO!$O363+183,REGISTRO!$M363="QUINCENAL",REGISTRO!$O363+15), "")</f>
        <v/>
      </c>
      <c r="Q363" s="20" t="str" cm="1">
        <f t="array" aca="1" ref="Q3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3" s="24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2.75" hidden="1" customHeight="1" x14ac:dyDescent="0.25">
      <c r="A364" s="59"/>
      <c r="B364" s="56"/>
      <c r="C364" s="16"/>
      <c r="D364" s="16"/>
      <c r="E364" s="99"/>
      <c r="F364" s="99"/>
      <c r="G364" s="22"/>
      <c r="H364" s="23"/>
      <c r="I364" s="99"/>
      <c r="J364" s="99"/>
      <c r="K364" s="99"/>
      <c r="L364" s="99"/>
      <c r="M364" s="22"/>
      <c r="N364" s="22"/>
      <c r="O364" s="20"/>
      <c r="P364" s="20" t="str">
        <f t="array" aca="1" ref="P364" ca="1">IFERROR(IFS(REGISTRO!$M364="ANUAL",REGISTRO!$O364+365,REGISTRO!$M364="SEMESTRAL",REGISTRO!$O364+183,REGISTRO!$M364="QUINCENAL",REGISTRO!$O364+15), "")</f>
        <v/>
      </c>
      <c r="Q364" s="20" t="str" cm="1">
        <f t="array" aca="1" ref="Q3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4" s="24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2.75" hidden="1" customHeight="1" x14ac:dyDescent="0.25">
      <c r="A365" s="59"/>
      <c r="B365" s="56"/>
      <c r="C365" s="16"/>
      <c r="D365" s="16"/>
      <c r="E365" s="99"/>
      <c r="F365" s="99"/>
      <c r="G365" s="22"/>
      <c r="H365" s="23"/>
      <c r="I365" s="99"/>
      <c r="J365" s="99"/>
      <c r="K365" s="99"/>
      <c r="L365" s="99"/>
      <c r="M365" s="22"/>
      <c r="N365" s="22"/>
      <c r="O365" s="20"/>
      <c r="P365" s="20" t="str">
        <f t="array" aca="1" ref="P365" ca="1">IFERROR(IFS(REGISTRO!$M365="ANUAL",REGISTRO!$O365+365,REGISTRO!$M365="SEMESTRAL",REGISTRO!$O365+183,REGISTRO!$M365="QUINCENAL",REGISTRO!$O365+15), "")</f>
        <v/>
      </c>
      <c r="Q365" s="20" t="str" cm="1">
        <f t="array" aca="1" ref="Q3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5" s="24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2.75" hidden="1" customHeight="1" x14ac:dyDescent="0.25">
      <c r="A366" s="59"/>
      <c r="B366" s="56"/>
      <c r="C366" s="16"/>
      <c r="D366" s="16"/>
      <c r="E366" s="99"/>
      <c r="F366" s="99"/>
      <c r="G366" s="22"/>
      <c r="H366" s="23"/>
      <c r="I366" s="99"/>
      <c r="J366" s="99"/>
      <c r="K366" s="99"/>
      <c r="L366" s="99"/>
      <c r="M366" s="22"/>
      <c r="N366" s="22"/>
      <c r="O366" s="20"/>
      <c r="P366" s="20" t="str">
        <f t="array" aca="1" ref="P366" ca="1">IFERROR(IFS(REGISTRO!$M366="ANUAL",REGISTRO!$O366+365,REGISTRO!$M366="SEMESTRAL",REGISTRO!$O366+183,REGISTRO!$M366="QUINCENAL",REGISTRO!$O366+15), "")</f>
        <v/>
      </c>
      <c r="Q366" s="20" t="str" cm="1">
        <f t="array" aca="1" ref="Q3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R366" s="24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2.75" hidden="1" customHeight="1" x14ac:dyDescent="0.25">
      <c r="A367" s="59"/>
      <c r="B367" s="139"/>
      <c r="C367" s="2"/>
      <c r="D367" s="2"/>
      <c r="E367" s="100"/>
      <c r="F367" s="123"/>
      <c r="G367" s="2"/>
      <c r="H367" s="2"/>
      <c r="I367" s="124"/>
      <c r="J367" s="122"/>
      <c r="K367" s="122"/>
      <c r="L367" s="122"/>
      <c r="M367" s="2"/>
      <c r="N367" s="1"/>
      <c r="O367" s="20"/>
      <c r="P367" s="1"/>
      <c r="Q367" s="1"/>
      <c r="R367" s="44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2.75" hidden="1" customHeight="1" x14ac:dyDescent="0.25">
      <c r="A368" s="59"/>
      <c r="B368" s="56"/>
      <c r="C368" s="42"/>
      <c r="D368" s="42"/>
      <c r="E368" s="101"/>
      <c r="F368" s="126"/>
      <c r="G368" s="42"/>
      <c r="H368" s="42"/>
      <c r="I368" s="127"/>
      <c r="J368" s="121"/>
      <c r="K368" s="149"/>
      <c r="L368" s="149"/>
      <c r="M368" s="42"/>
      <c r="N368" s="44"/>
      <c r="O368" s="44"/>
      <c r="P368" s="44"/>
      <c r="Q368" s="57"/>
      <c r="R368" s="44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2.75" hidden="1" customHeight="1" x14ac:dyDescent="0.25">
      <c r="A369" s="2"/>
      <c r="B369" s="2"/>
      <c r="C369" s="2"/>
      <c r="D369" s="2"/>
      <c r="E369" s="25"/>
      <c r="F369" s="26"/>
      <c r="G369" s="2"/>
      <c r="H369" s="2"/>
      <c r="I369" s="124"/>
      <c r="J369" s="122"/>
      <c r="K369" s="122"/>
      <c r="L369" s="122"/>
      <c r="M369" s="2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2.75" customHeight="1" x14ac:dyDescent="0.25">
      <c r="A370" s="2"/>
      <c r="B370" s="2"/>
      <c r="C370" s="2"/>
      <c r="D370" s="2"/>
      <c r="E370" s="25"/>
      <c r="F370" s="26"/>
      <c r="G370" s="2"/>
      <c r="H370" s="2"/>
      <c r="I370" s="124"/>
      <c r="J370" s="122"/>
      <c r="K370" s="122"/>
      <c r="L370" s="122"/>
      <c r="M370" s="2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2.75" customHeight="1" x14ac:dyDescent="0.25">
      <c r="A371" s="2"/>
      <c r="B371" s="2"/>
      <c r="C371" s="2"/>
      <c r="D371" s="2"/>
      <c r="E371" s="25"/>
      <c r="F371" s="26"/>
      <c r="G371" s="2"/>
      <c r="H371" s="2"/>
      <c r="I371" s="124"/>
      <c r="J371" s="122"/>
      <c r="K371" s="122"/>
      <c r="L371" s="122"/>
      <c r="M371" s="2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2.75" customHeight="1" x14ac:dyDescent="0.25">
      <c r="A372" s="2"/>
      <c r="B372" s="2"/>
      <c r="C372" s="2"/>
      <c r="D372" s="2"/>
      <c r="E372" s="25"/>
      <c r="F372" s="26"/>
      <c r="G372" s="2"/>
      <c r="H372" s="2"/>
      <c r="I372" s="124"/>
      <c r="J372" s="122"/>
      <c r="K372" s="122"/>
      <c r="L372" s="122"/>
      <c r="M372" s="2"/>
      <c r="N372" s="1"/>
      <c r="O372" s="1"/>
      <c r="P372" s="1"/>
      <c r="Q372" s="82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2.75" customHeight="1" x14ac:dyDescent="0.25">
      <c r="A373" s="2"/>
      <c r="B373" s="2"/>
      <c r="C373" s="2"/>
      <c r="D373" s="2"/>
      <c r="E373" s="25"/>
      <c r="F373" s="26"/>
      <c r="G373" s="2"/>
      <c r="H373" s="2"/>
      <c r="I373" s="124"/>
      <c r="J373" s="122"/>
      <c r="K373" s="122"/>
      <c r="L373" s="122"/>
      <c r="M373" s="2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2.75" customHeight="1" x14ac:dyDescent="0.25">
      <c r="A374" s="2"/>
      <c r="B374" s="2"/>
      <c r="C374" s="2"/>
      <c r="D374" s="2"/>
      <c r="E374" s="25"/>
      <c r="F374" s="26"/>
      <c r="G374" s="2"/>
      <c r="H374" s="2"/>
      <c r="I374" s="124"/>
      <c r="J374" s="122"/>
      <c r="K374" s="122"/>
      <c r="L374" s="122"/>
      <c r="M374" s="2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2.75" customHeight="1" x14ac:dyDescent="0.25">
      <c r="A375" s="2"/>
      <c r="B375" s="2"/>
      <c r="C375" s="2"/>
      <c r="D375" s="2"/>
      <c r="E375" s="25"/>
      <c r="F375" s="26"/>
      <c r="G375" s="2"/>
      <c r="H375" s="2"/>
      <c r="I375" s="124"/>
      <c r="J375" s="122"/>
      <c r="K375" s="122"/>
      <c r="L375" s="122"/>
      <c r="M375" s="2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2.75" customHeight="1" x14ac:dyDescent="0.25">
      <c r="A376" s="2"/>
      <c r="B376" s="2"/>
      <c r="C376" s="2"/>
      <c r="D376" s="2"/>
      <c r="E376" s="25"/>
      <c r="F376" s="26"/>
      <c r="G376" s="2"/>
      <c r="H376" s="2"/>
      <c r="I376" s="124"/>
      <c r="J376" s="122"/>
      <c r="K376" s="122"/>
      <c r="L376" s="122"/>
      <c r="M376" s="2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2.75" customHeight="1" x14ac:dyDescent="0.25">
      <c r="A377" s="2"/>
      <c r="B377" s="2"/>
      <c r="C377" s="2"/>
      <c r="D377" s="2"/>
      <c r="E377" s="25"/>
      <c r="F377" s="26"/>
      <c r="G377" s="2"/>
      <c r="H377" s="2"/>
      <c r="I377" s="124"/>
      <c r="J377" s="122"/>
      <c r="K377" s="122"/>
      <c r="L377" s="122"/>
      <c r="M377" s="2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2.75" customHeight="1" x14ac:dyDescent="0.25">
      <c r="A378" s="2"/>
      <c r="B378" s="2"/>
      <c r="C378" s="2"/>
      <c r="D378" s="2"/>
      <c r="E378" s="25"/>
      <c r="F378" s="26"/>
      <c r="G378" s="2"/>
      <c r="H378" s="2"/>
      <c r="I378" s="124"/>
      <c r="J378" s="122"/>
      <c r="K378" s="122"/>
      <c r="L378" s="122"/>
      <c r="M378" s="2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2.75" customHeight="1" x14ac:dyDescent="0.25">
      <c r="A379" s="2"/>
      <c r="B379" s="2"/>
      <c r="C379" s="2"/>
      <c r="D379" s="2"/>
      <c r="E379" s="25"/>
      <c r="F379" s="26"/>
      <c r="G379" s="2"/>
      <c r="H379" s="2"/>
      <c r="I379" s="124"/>
      <c r="J379" s="122"/>
      <c r="K379" s="122"/>
      <c r="L379" s="122"/>
      <c r="M379" s="2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2.75" customHeight="1" x14ac:dyDescent="0.25">
      <c r="A380" s="2"/>
      <c r="B380" s="2"/>
      <c r="C380" s="2"/>
      <c r="D380" s="2"/>
      <c r="E380" s="25"/>
      <c r="F380" s="26"/>
      <c r="G380" s="2"/>
      <c r="H380" s="2"/>
      <c r="I380" s="124"/>
      <c r="J380" s="122"/>
      <c r="K380" s="122"/>
      <c r="L380" s="122"/>
      <c r="M380" s="2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2.75" customHeight="1" x14ac:dyDescent="0.25">
      <c r="A381" s="2"/>
      <c r="B381" s="2"/>
      <c r="C381" s="2"/>
      <c r="D381" s="2"/>
      <c r="E381" s="25"/>
      <c r="F381" s="26"/>
      <c r="G381" s="2"/>
      <c r="H381" s="2"/>
      <c r="I381" s="124"/>
      <c r="J381" s="122"/>
      <c r="K381" s="122"/>
      <c r="L381" s="122"/>
      <c r="M381" s="2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2.75" customHeight="1" x14ac:dyDescent="0.25">
      <c r="A382" s="2"/>
      <c r="B382" s="2"/>
      <c r="C382" s="2"/>
      <c r="D382" s="2"/>
      <c r="E382" s="25"/>
      <c r="F382" s="26"/>
      <c r="G382" s="2"/>
      <c r="H382" s="2"/>
      <c r="I382" s="124"/>
      <c r="J382" s="122"/>
      <c r="K382" s="122"/>
      <c r="L382" s="122"/>
      <c r="M382" s="2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2.75" customHeight="1" x14ac:dyDescent="0.25">
      <c r="A383" s="2"/>
      <c r="B383" s="2"/>
      <c r="C383" s="2"/>
      <c r="D383" s="2"/>
      <c r="E383" s="25"/>
      <c r="F383" s="26"/>
      <c r="G383" s="2"/>
      <c r="H383" s="2"/>
      <c r="I383" s="124"/>
      <c r="J383" s="122"/>
      <c r="K383" s="122"/>
      <c r="L383" s="122"/>
      <c r="M383" s="2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2.75" customHeight="1" x14ac:dyDescent="0.25">
      <c r="A384" s="2"/>
      <c r="B384" s="2"/>
      <c r="C384" s="2"/>
      <c r="D384" s="2"/>
      <c r="E384" s="25"/>
      <c r="F384" s="26"/>
      <c r="G384" s="2"/>
      <c r="H384" s="2"/>
      <c r="I384" s="124"/>
      <c r="J384" s="122"/>
      <c r="K384" s="122"/>
      <c r="L384" s="122"/>
      <c r="M384" s="2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2.75" customHeight="1" x14ac:dyDescent="0.25">
      <c r="A385" s="2"/>
      <c r="B385" s="2"/>
      <c r="C385" s="2"/>
      <c r="D385" s="2"/>
      <c r="E385" s="25"/>
      <c r="F385" s="26"/>
      <c r="G385" s="2"/>
      <c r="H385" s="2"/>
      <c r="I385" s="124"/>
      <c r="J385" s="122"/>
      <c r="K385" s="122"/>
      <c r="L385" s="122"/>
      <c r="M385" s="2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2.75" customHeight="1" x14ac:dyDescent="0.25">
      <c r="A386" s="2"/>
      <c r="B386" s="2"/>
      <c r="C386" s="2"/>
      <c r="D386" s="2"/>
      <c r="E386" s="25"/>
      <c r="F386" s="26"/>
      <c r="G386" s="2"/>
      <c r="H386" s="2"/>
      <c r="I386" s="124"/>
      <c r="J386" s="122"/>
      <c r="K386" s="122"/>
      <c r="L386" s="122"/>
      <c r="M386" s="2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2.75" customHeight="1" x14ac:dyDescent="0.25">
      <c r="A387" s="2"/>
      <c r="B387" s="2"/>
      <c r="C387" s="2"/>
      <c r="D387" s="2"/>
      <c r="E387" s="25"/>
      <c r="F387" s="26"/>
      <c r="G387" s="2"/>
      <c r="H387" s="2"/>
      <c r="I387" s="124"/>
      <c r="J387" s="122"/>
      <c r="K387" s="122"/>
      <c r="L387" s="122"/>
      <c r="M387" s="2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2.75" customHeight="1" x14ac:dyDescent="0.25">
      <c r="A388" s="2"/>
      <c r="B388" s="2"/>
      <c r="C388" s="2"/>
      <c r="D388" s="2"/>
      <c r="E388" s="25"/>
      <c r="F388" s="26"/>
      <c r="G388" s="2"/>
      <c r="H388" s="2"/>
      <c r="I388" s="124"/>
      <c r="J388" s="122"/>
      <c r="K388" s="122"/>
      <c r="L388" s="122"/>
      <c r="M388" s="2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2.75" customHeight="1" x14ac:dyDescent="0.25">
      <c r="A389" s="2"/>
      <c r="B389" s="2"/>
      <c r="C389" s="2"/>
      <c r="D389" s="2"/>
      <c r="E389" s="25"/>
      <c r="F389" s="26"/>
      <c r="G389" s="2"/>
      <c r="H389" s="2"/>
      <c r="I389" s="124"/>
      <c r="J389" s="122"/>
      <c r="K389" s="122"/>
      <c r="L389" s="122"/>
      <c r="M389" s="2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2.75" customHeight="1" x14ac:dyDescent="0.25">
      <c r="A390" s="2"/>
      <c r="B390" s="2"/>
      <c r="C390" s="2"/>
      <c r="D390" s="2"/>
      <c r="E390" s="25"/>
      <c r="F390" s="26"/>
      <c r="G390" s="2"/>
      <c r="H390" s="2"/>
      <c r="I390" s="124"/>
      <c r="J390" s="122"/>
      <c r="K390" s="122"/>
      <c r="L390" s="122"/>
      <c r="M390" s="2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2.75" customHeight="1" x14ac:dyDescent="0.25">
      <c r="A391" s="2"/>
      <c r="B391" s="2"/>
      <c r="C391" s="2"/>
      <c r="D391" s="2"/>
      <c r="E391" s="25"/>
      <c r="F391" s="26"/>
      <c r="G391" s="2"/>
      <c r="H391" s="2"/>
      <c r="I391" s="124"/>
      <c r="J391" s="122"/>
      <c r="K391" s="122"/>
      <c r="L391" s="122"/>
      <c r="M391" s="2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2.75" customHeight="1" x14ac:dyDescent="0.25">
      <c r="A392" s="2"/>
      <c r="B392" s="2"/>
      <c r="C392" s="2"/>
      <c r="D392" s="2"/>
      <c r="E392" s="25"/>
      <c r="F392" s="26"/>
      <c r="G392" s="2"/>
      <c r="H392" s="2"/>
      <c r="I392" s="124"/>
      <c r="J392" s="122"/>
      <c r="K392" s="122"/>
      <c r="L392" s="122"/>
      <c r="M392" s="2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2.75" customHeight="1" x14ac:dyDescent="0.25">
      <c r="A393" s="2"/>
      <c r="B393" s="2"/>
      <c r="C393" s="2"/>
      <c r="D393" s="2"/>
      <c r="E393" s="25"/>
      <c r="F393" s="26"/>
      <c r="G393" s="2"/>
      <c r="H393" s="2"/>
      <c r="I393" s="124"/>
      <c r="J393" s="122"/>
      <c r="K393" s="122"/>
      <c r="L393" s="122"/>
      <c r="M393" s="2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2.75" customHeight="1" x14ac:dyDescent="0.25">
      <c r="A394" s="2"/>
      <c r="B394" s="2"/>
      <c r="C394" s="2"/>
      <c r="D394" s="2"/>
      <c r="E394" s="25"/>
      <c r="F394" s="26"/>
      <c r="G394" s="2"/>
      <c r="H394" s="2"/>
      <c r="I394" s="124"/>
      <c r="J394" s="122"/>
      <c r="K394" s="122"/>
      <c r="L394" s="122"/>
      <c r="M394" s="2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2.75" customHeight="1" x14ac:dyDescent="0.25">
      <c r="A395" s="2"/>
      <c r="B395" s="2"/>
      <c r="C395" s="2"/>
      <c r="D395" s="2"/>
      <c r="E395" s="25"/>
      <c r="F395" s="26"/>
      <c r="G395" s="2"/>
      <c r="H395" s="2"/>
      <c r="I395" s="124"/>
      <c r="J395" s="122"/>
      <c r="K395" s="122"/>
      <c r="L395" s="122"/>
      <c r="M395" s="2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2.75" customHeight="1" x14ac:dyDescent="0.25">
      <c r="A396" s="2"/>
      <c r="B396" s="2"/>
      <c r="C396" s="2"/>
      <c r="D396" s="2"/>
      <c r="E396" s="25"/>
      <c r="F396" s="26"/>
      <c r="G396" s="2"/>
      <c r="H396" s="2"/>
      <c r="I396" s="124"/>
      <c r="J396" s="122"/>
      <c r="K396" s="122"/>
      <c r="L396" s="122"/>
      <c r="M396" s="2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2.75" customHeight="1" x14ac:dyDescent="0.25">
      <c r="A397" s="2"/>
      <c r="B397" s="2"/>
      <c r="C397" s="2"/>
      <c r="D397" s="2"/>
      <c r="E397" s="25"/>
      <c r="F397" s="26"/>
      <c r="G397" s="2"/>
      <c r="H397" s="2"/>
      <c r="I397" s="124"/>
      <c r="J397" s="122"/>
      <c r="K397" s="122"/>
      <c r="L397" s="122"/>
      <c r="M397" s="2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2.75" customHeight="1" x14ac:dyDescent="0.25">
      <c r="A398" s="2"/>
      <c r="B398" s="2"/>
      <c r="C398" s="2"/>
      <c r="D398" s="2"/>
      <c r="E398" s="25"/>
      <c r="F398" s="26"/>
      <c r="G398" s="2"/>
      <c r="H398" s="2"/>
      <c r="I398" s="124"/>
      <c r="J398" s="122"/>
      <c r="K398" s="122"/>
      <c r="L398" s="122"/>
      <c r="M398" s="2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2.75" customHeight="1" x14ac:dyDescent="0.25">
      <c r="A399" s="2"/>
      <c r="B399" s="2"/>
      <c r="C399" s="2"/>
      <c r="D399" s="2"/>
      <c r="E399" s="25"/>
      <c r="F399" s="26"/>
      <c r="G399" s="2"/>
      <c r="H399" s="2"/>
      <c r="I399" s="124"/>
      <c r="J399" s="122"/>
      <c r="K399" s="122"/>
      <c r="L399" s="122"/>
      <c r="M399" s="2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2.75" customHeight="1" x14ac:dyDescent="0.25">
      <c r="A400" s="2"/>
      <c r="B400" s="2"/>
      <c r="C400" s="2"/>
      <c r="D400" s="2"/>
      <c r="E400" s="25"/>
      <c r="F400" s="26"/>
      <c r="G400" s="2"/>
      <c r="H400" s="2"/>
      <c r="I400" s="124"/>
      <c r="J400" s="122"/>
      <c r="K400" s="122"/>
      <c r="L400" s="122"/>
      <c r="M400" s="2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2.75" customHeight="1" x14ac:dyDescent="0.25">
      <c r="A401" s="2"/>
      <c r="B401" s="2"/>
      <c r="C401" s="2"/>
      <c r="D401" s="2"/>
      <c r="E401" s="25"/>
      <c r="F401" s="26"/>
      <c r="G401" s="2"/>
      <c r="H401" s="2"/>
      <c r="I401" s="124"/>
      <c r="J401" s="122"/>
      <c r="K401" s="122"/>
      <c r="L401" s="122"/>
      <c r="M401" s="2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2.75" customHeight="1" x14ac:dyDescent="0.25">
      <c r="A402" s="2"/>
      <c r="B402" s="2"/>
      <c r="C402" s="2"/>
      <c r="D402" s="2"/>
      <c r="E402" s="25"/>
      <c r="F402" s="26"/>
      <c r="G402" s="2"/>
      <c r="H402" s="2"/>
      <c r="I402" s="124"/>
      <c r="J402" s="122"/>
      <c r="K402" s="122"/>
      <c r="L402" s="122"/>
      <c r="M402" s="2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2.75" customHeight="1" x14ac:dyDescent="0.25">
      <c r="A403" s="2"/>
      <c r="B403" s="2"/>
      <c r="C403" s="2"/>
      <c r="D403" s="2"/>
      <c r="E403" s="25"/>
      <c r="F403" s="26"/>
      <c r="G403" s="2"/>
      <c r="H403" s="2"/>
      <c r="I403" s="124"/>
      <c r="J403" s="122"/>
      <c r="K403" s="122"/>
      <c r="L403" s="122"/>
      <c r="M403" s="2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2.75" customHeight="1" x14ac:dyDescent="0.25">
      <c r="A404" s="2"/>
      <c r="B404" s="2"/>
      <c r="C404" s="2"/>
      <c r="D404" s="2"/>
      <c r="E404" s="25"/>
      <c r="F404" s="26"/>
      <c r="G404" s="2"/>
      <c r="H404" s="2"/>
      <c r="I404" s="124"/>
      <c r="J404" s="122"/>
      <c r="K404" s="122"/>
      <c r="L404" s="122"/>
      <c r="M404" s="2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2.75" customHeight="1" x14ac:dyDescent="0.25">
      <c r="A405" s="2"/>
      <c r="B405" s="2"/>
      <c r="C405" s="2"/>
      <c r="D405" s="2"/>
      <c r="E405" s="25"/>
      <c r="F405" s="26"/>
      <c r="G405" s="2"/>
      <c r="H405" s="2"/>
      <c r="I405" s="124"/>
      <c r="J405" s="122"/>
      <c r="K405" s="122"/>
      <c r="L405" s="122"/>
      <c r="M405" s="2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2.75" customHeight="1" x14ac:dyDescent="0.25">
      <c r="A406" s="2"/>
      <c r="B406" s="2"/>
      <c r="C406" s="2"/>
      <c r="D406" s="2"/>
      <c r="E406" s="25"/>
      <c r="F406" s="26"/>
      <c r="G406" s="2"/>
      <c r="H406" s="2"/>
      <c r="I406" s="124"/>
      <c r="J406" s="122"/>
      <c r="K406" s="122"/>
      <c r="L406" s="122"/>
      <c r="M406" s="2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2.75" customHeight="1" x14ac:dyDescent="0.25">
      <c r="A407" s="2"/>
      <c r="B407" s="2"/>
      <c r="C407" s="2"/>
      <c r="D407" s="2"/>
      <c r="E407" s="25"/>
      <c r="F407" s="26"/>
      <c r="G407" s="2"/>
      <c r="H407" s="2"/>
      <c r="I407" s="124"/>
      <c r="J407" s="122"/>
      <c r="K407" s="122"/>
      <c r="L407" s="122"/>
      <c r="M407" s="2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2.75" customHeight="1" x14ac:dyDescent="0.25">
      <c r="A408" s="2"/>
      <c r="B408" s="2"/>
      <c r="C408" s="2"/>
      <c r="D408" s="2"/>
      <c r="E408" s="25"/>
      <c r="F408" s="26"/>
      <c r="G408" s="2"/>
      <c r="H408" s="2"/>
      <c r="I408" s="124"/>
      <c r="J408" s="122"/>
      <c r="K408" s="122"/>
      <c r="L408" s="122"/>
      <c r="M408" s="2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2.75" customHeight="1" x14ac:dyDescent="0.25">
      <c r="A409" s="2"/>
      <c r="B409" s="2"/>
      <c r="C409" s="2"/>
      <c r="D409" s="2"/>
      <c r="E409" s="25"/>
      <c r="F409" s="26"/>
      <c r="G409" s="2"/>
      <c r="H409" s="2"/>
      <c r="I409" s="124"/>
      <c r="J409" s="122"/>
      <c r="K409" s="122"/>
      <c r="L409" s="122"/>
      <c r="M409" s="2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2.75" customHeight="1" x14ac:dyDescent="0.25">
      <c r="A410" s="2"/>
      <c r="B410" s="2"/>
      <c r="C410" s="2"/>
      <c r="D410" s="2"/>
      <c r="E410" s="25"/>
      <c r="F410" s="26"/>
      <c r="G410" s="2"/>
      <c r="H410" s="2"/>
      <c r="I410" s="124"/>
      <c r="J410" s="122"/>
      <c r="K410" s="122"/>
      <c r="L410" s="122"/>
      <c r="M410" s="2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2.75" customHeight="1" x14ac:dyDescent="0.25">
      <c r="A411" s="2"/>
      <c r="B411" s="2"/>
      <c r="C411" s="2"/>
      <c r="D411" s="2"/>
      <c r="E411" s="25"/>
      <c r="F411" s="26"/>
      <c r="G411" s="2"/>
      <c r="H411" s="2"/>
      <c r="I411" s="124"/>
      <c r="J411" s="122"/>
      <c r="K411" s="122"/>
      <c r="L411" s="122"/>
      <c r="M411" s="2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2.75" customHeight="1" x14ac:dyDescent="0.25">
      <c r="A412" s="2"/>
      <c r="B412" s="2"/>
      <c r="C412" s="2"/>
      <c r="D412" s="2"/>
      <c r="E412" s="25"/>
      <c r="F412" s="26"/>
      <c r="G412" s="2"/>
      <c r="H412" s="2"/>
      <c r="I412" s="124"/>
      <c r="J412" s="122"/>
      <c r="K412" s="122"/>
      <c r="L412" s="122"/>
      <c r="M412" s="2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2.75" customHeight="1" x14ac:dyDescent="0.25">
      <c r="A413" s="2"/>
      <c r="B413" s="2"/>
      <c r="C413" s="2"/>
      <c r="D413" s="2"/>
      <c r="E413" s="25"/>
      <c r="F413" s="26"/>
      <c r="G413" s="2"/>
      <c r="H413" s="2"/>
      <c r="I413" s="124"/>
      <c r="J413" s="122"/>
      <c r="K413" s="122"/>
      <c r="L413" s="122"/>
      <c r="M413" s="2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2.75" customHeight="1" x14ac:dyDescent="0.25">
      <c r="A414" s="2"/>
      <c r="B414" s="2"/>
      <c r="C414" s="2"/>
      <c r="D414" s="2"/>
      <c r="E414" s="25"/>
      <c r="F414" s="26"/>
      <c r="G414" s="2"/>
      <c r="H414" s="2"/>
      <c r="I414" s="124"/>
      <c r="J414" s="122"/>
      <c r="K414" s="122"/>
      <c r="L414" s="122"/>
      <c r="M414" s="2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2.75" customHeight="1" x14ac:dyDescent="0.25">
      <c r="A415" s="2"/>
      <c r="B415" s="2"/>
      <c r="C415" s="2"/>
      <c r="D415" s="2"/>
      <c r="E415" s="25"/>
      <c r="F415" s="26"/>
      <c r="G415" s="2"/>
      <c r="H415" s="2"/>
      <c r="I415" s="124"/>
      <c r="J415" s="122"/>
      <c r="K415" s="122"/>
      <c r="L415" s="122"/>
      <c r="M415" s="2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2.75" customHeight="1" x14ac:dyDescent="0.25">
      <c r="A416" s="2"/>
      <c r="B416" s="2"/>
      <c r="C416" s="2"/>
      <c r="D416" s="2"/>
      <c r="E416" s="25"/>
      <c r="F416" s="26"/>
      <c r="G416" s="2"/>
      <c r="H416" s="2"/>
      <c r="I416" s="124"/>
      <c r="J416" s="122"/>
      <c r="K416" s="122"/>
      <c r="L416" s="122"/>
      <c r="M416" s="2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2.75" customHeight="1" x14ac:dyDescent="0.25">
      <c r="A417" s="2"/>
      <c r="B417" s="2"/>
      <c r="C417" s="2"/>
      <c r="D417" s="2"/>
      <c r="E417" s="25"/>
      <c r="F417" s="26"/>
      <c r="G417" s="2"/>
      <c r="H417" s="2"/>
      <c r="I417" s="124"/>
      <c r="J417" s="122"/>
      <c r="K417" s="122"/>
      <c r="L417" s="122"/>
      <c r="M417" s="2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2.75" customHeight="1" x14ac:dyDescent="0.25">
      <c r="A418" s="2"/>
      <c r="B418" s="2"/>
      <c r="C418" s="2"/>
      <c r="D418" s="2"/>
      <c r="E418" s="25"/>
      <c r="F418" s="26"/>
      <c r="G418" s="2"/>
      <c r="H418" s="2"/>
      <c r="I418" s="124"/>
      <c r="J418" s="122"/>
      <c r="K418" s="122"/>
      <c r="L418" s="122"/>
      <c r="M418" s="2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2.75" customHeight="1" x14ac:dyDescent="0.25">
      <c r="A419" s="2"/>
      <c r="B419" s="2"/>
      <c r="C419" s="2"/>
      <c r="D419" s="2"/>
      <c r="E419" s="25"/>
      <c r="F419" s="26"/>
      <c r="G419" s="2"/>
      <c r="H419" s="2"/>
      <c r="I419" s="124"/>
      <c r="J419" s="122"/>
      <c r="K419" s="122"/>
      <c r="L419" s="122"/>
      <c r="M419" s="2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2.75" customHeight="1" x14ac:dyDescent="0.25">
      <c r="A420" s="2"/>
      <c r="B420" s="2"/>
      <c r="C420" s="2"/>
      <c r="D420" s="2"/>
      <c r="E420" s="25"/>
      <c r="F420" s="26"/>
      <c r="G420" s="2"/>
      <c r="H420" s="2"/>
      <c r="I420" s="124"/>
      <c r="J420" s="122"/>
      <c r="K420" s="122"/>
      <c r="L420" s="122"/>
      <c r="M420" s="2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2.75" customHeight="1" x14ac:dyDescent="0.25">
      <c r="A421" s="2"/>
      <c r="B421" s="2"/>
      <c r="C421" s="2"/>
      <c r="D421" s="2"/>
      <c r="E421" s="25"/>
      <c r="F421" s="26"/>
      <c r="G421" s="2"/>
      <c r="H421" s="2"/>
      <c r="I421" s="124"/>
      <c r="J421" s="122"/>
      <c r="K421" s="122"/>
      <c r="L421" s="122"/>
      <c r="M421" s="2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2.75" customHeight="1" x14ac:dyDescent="0.25">
      <c r="A422" s="2"/>
      <c r="B422" s="2"/>
      <c r="C422" s="2"/>
      <c r="D422" s="2"/>
      <c r="E422" s="25"/>
      <c r="F422" s="26"/>
      <c r="G422" s="2"/>
      <c r="H422" s="2"/>
      <c r="I422" s="124"/>
      <c r="J422" s="122"/>
      <c r="K422" s="122"/>
      <c r="L422" s="122"/>
      <c r="M422" s="2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2.75" customHeight="1" x14ac:dyDescent="0.25">
      <c r="A423" s="2"/>
      <c r="B423" s="2"/>
      <c r="C423" s="2"/>
      <c r="D423" s="2"/>
      <c r="E423" s="25"/>
      <c r="F423" s="26"/>
      <c r="G423" s="2"/>
      <c r="H423" s="2"/>
      <c r="I423" s="124"/>
      <c r="J423" s="122"/>
      <c r="K423" s="122"/>
      <c r="L423" s="122"/>
      <c r="M423" s="2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2.75" customHeight="1" x14ac:dyDescent="0.25">
      <c r="A424" s="2"/>
      <c r="B424" s="2"/>
      <c r="C424" s="2"/>
      <c r="D424" s="2"/>
      <c r="E424" s="25"/>
      <c r="F424" s="26"/>
      <c r="G424" s="2"/>
      <c r="H424" s="2"/>
      <c r="I424" s="124"/>
      <c r="J424" s="122"/>
      <c r="K424" s="122"/>
      <c r="L424" s="122"/>
      <c r="M424" s="2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2.75" customHeight="1" x14ac:dyDescent="0.25">
      <c r="A425" s="2"/>
      <c r="B425" s="2"/>
      <c r="C425" s="2"/>
      <c r="D425" s="2"/>
      <c r="E425" s="25"/>
      <c r="F425" s="26"/>
      <c r="G425" s="2"/>
      <c r="H425" s="2"/>
      <c r="I425" s="124"/>
      <c r="J425" s="122"/>
      <c r="K425" s="122"/>
      <c r="L425" s="122"/>
      <c r="M425" s="2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2.75" customHeight="1" x14ac:dyDescent="0.25">
      <c r="A426" s="2"/>
      <c r="B426" s="2"/>
      <c r="C426" s="2"/>
      <c r="D426" s="2"/>
      <c r="E426" s="25"/>
      <c r="F426" s="26"/>
      <c r="G426" s="2"/>
      <c r="H426" s="2"/>
      <c r="I426" s="124"/>
      <c r="J426" s="122"/>
      <c r="K426" s="122"/>
      <c r="L426" s="122"/>
      <c r="M426" s="2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2.75" customHeight="1" x14ac:dyDescent="0.25">
      <c r="A427" s="2"/>
      <c r="B427" s="2"/>
      <c r="C427" s="2"/>
      <c r="D427" s="2"/>
      <c r="E427" s="25"/>
      <c r="F427" s="26"/>
      <c r="G427" s="2"/>
      <c r="H427" s="2"/>
      <c r="I427" s="124"/>
      <c r="J427" s="122"/>
      <c r="K427" s="122"/>
      <c r="L427" s="122"/>
      <c r="M427" s="2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2.75" customHeight="1" x14ac:dyDescent="0.25">
      <c r="A428" s="2"/>
      <c r="B428" s="2"/>
      <c r="C428" s="2"/>
      <c r="D428" s="2"/>
      <c r="E428" s="25"/>
      <c r="F428" s="26"/>
      <c r="G428" s="2"/>
      <c r="H428" s="2"/>
      <c r="I428" s="124"/>
      <c r="J428" s="122"/>
      <c r="K428" s="122"/>
      <c r="L428" s="122"/>
      <c r="M428" s="2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2.75" customHeight="1" x14ac:dyDescent="0.25">
      <c r="A429" s="2"/>
      <c r="B429" s="2"/>
      <c r="C429" s="2"/>
      <c r="D429" s="2"/>
      <c r="E429" s="25"/>
      <c r="F429" s="26"/>
      <c r="G429" s="2"/>
      <c r="H429" s="2"/>
      <c r="I429" s="124"/>
      <c r="J429" s="122"/>
      <c r="K429" s="122"/>
      <c r="L429" s="122"/>
      <c r="M429" s="2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2.75" customHeight="1" x14ac:dyDescent="0.25">
      <c r="A430" s="2"/>
      <c r="B430" s="2"/>
      <c r="C430" s="2"/>
      <c r="D430" s="2"/>
      <c r="E430" s="25"/>
      <c r="F430" s="26"/>
      <c r="G430" s="2"/>
      <c r="H430" s="2"/>
      <c r="I430" s="124"/>
      <c r="J430" s="122"/>
      <c r="K430" s="122"/>
      <c r="L430" s="122"/>
      <c r="M430" s="2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2.75" customHeight="1" x14ac:dyDescent="0.25">
      <c r="A431" s="2"/>
      <c r="B431" s="2"/>
      <c r="C431" s="2"/>
      <c r="D431" s="2"/>
      <c r="E431" s="25"/>
      <c r="F431" s="26"/>
      <c r="G431" s="2"/>
      <c r="H431" s="2"/>
      <c r="I431" s="124"/>
      <c r="J431" s="122"/>
      <c r="K431" s="122"/>
      <c r="L431" s="122"/>
      <c r="M431" s="2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2.75" customHeight="1" x14ac:dyDescent="0.25">
      <c r="A432" s="2"/>
      <c r="B432" s="2"/>
      <c r="C432" s="2"/>
      <c r="D432" s="2"/>
      <c r="E432" s="25"/>
      <c r="F432" s="26"/>
      <c r="G432" s="2"/>
      <c r="H432" s="2"/>
      <c r="I432" s="124"/>
      <c r="J432" s="122"/>
      <c r="K432" s="122"/>
      <c r="L432" s="122"/>
      <c r="M432" s="2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2.75" customHeight="1" x14ac:dyDescent="0.25">
      <c r="A433" s="2"/>
      <c r="B433" s="2"/>
      <c r="C433" s="2"/>
      <c r="D433" s="2"/>
      <c r="E433" s="25"/>
      <c r="F433" s="26"/>
      <c r="G433" s="2"/>
      <c r="H433" s="2"/>
      <c r="I433" s="124"/>
      <c r="J433" s="122"/>
      <c r="K433" s="122"/>
      <c r="L433" s="122"/>
      <c r="M433" s="2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2.75" customHeight="1" x14ac:dyDescent="0.25">
      <c r="A434" s="2"/>
      <c r="B434" s="2"/>
      <c r="C434" s="2"/>
      <c r="D434" s="2"/>
      <c r="E434" s="25"/>
      <c r="F434" s="26"/>
      <c r="G434" s="2"/>
      <c r="H434" s="2"/>
      <c r="I434" s="124"/>
      <c r="J434" s="122"/>
      <c r="K434" s="122"/>
      <c r="L434" s="122"/>
      <c r="M434" s="2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2.75" customHeight="1" x14ac:dyDescent="0.25">
      <c r="A435" s="2"/>
      <c r="B435" s="2"/>
      <c r="C435" s="2"/>
      <c r="D435" s="2"/>
      <c r="E435" s="25"/>
      <c r="F435" s="26"/>
      <c r="G435" s="2"/>
      <c r="H435" s="2"/>
      <c r="I435" s="124"/>
      <c r="J435" s="122"/>
      <c r="K435" s="122"/>
      <c r="L435" s="122"/>
      <c r="M435" s="2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2.75" customHeight="1" x14ac:dyDescent="0.25">
      <c r="A436" s="2"/>
      <c r="B436" s="2"/>
      <c r="C436" s="2"/>
      <c r="D436" s="2"/>
      <c r="E436" s="25"/>
      <c r="F436" s="26"/>
      <c r="G436" s="2"/>
      <c r="H436" s="2"/>
      <c r="I436" s="124"/>
      <c r="J436" s="122"/>
      <c r="K436" s="122"/>
      <c r="L436" s="122"/>
      <c r="M436" s="2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2.75" customHeight="1" x14ac:dyDescent="0.25">
      <c r="A437" s="2"/>
      <c r="B437" s="2"/>
      <c r="C437" s="2"/>
      <c r="D437" s="2"/>
      <c r="E437" s="25"/>
      <c r="F437" s="26"/>
      <c r="G437" s="2"/>
      <c r="H437" s="2"/>
      <c r="I437" s="124"/>
      <c r="J437" s="122"/>
      <c r="K437" s="122"/>
      <c r="L437" s="122"/>
      <c r="M437" s="2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2.75" customHeight="1" x14ac:dyDescent="0.25">
      <c r="A438" s="2"/>
      <c r="B438" s="2"/>
      <c r="C438" s="2"/>
      <c r="D438" s="2"/>
      <c r="E438" s="25"/>
      <c r="F438" s="26"/>
      <c r="G438" s="2"/>
      <c r="H438" s="2"/>
      <c r="I438" s="124"/>
      <c r="J438" s="122"/>
      <c r="K438" s="122"/>
      <c r="L438" s="122"/>
      <c r="M438" s="2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2.75" customHeight="1" x14ac:dyDescent="0.25">
      <c r="A439" s="2"/>
      <c r="B439" s="2"/>
      <c r="C439" s="2"/>
      <c r="D439" s="2"/>
      <c r="E439" s="25"/>
      <c r="F439" s="26"/>
      <c r="G439" s="2"/>
      <c r="H439" s="2"/>
      <c r="I439" s="124"/>
      <c r="J439" s="122"/>
      <c r="K439" s="122"/>
      <c r="L439" s="122"/>
      <c r="M439" s="2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2.75" customHeight="1" x14ac:dyDescent="0.25">
      <c r="A440" s="2"/>
      <c r="B440" s="2"/>
      <c r="C440" s="2"/>
      <c r="D440" s="2"/>
      <c r="E440" s="25"/>
      <c r="F440" s="26"/>
      <c r="G440" s="2"/>
      <c r="H440" s="2"/>
      <c r="I440" s="124"/>
      <c r="J440" s="122"/>
      <c r="K440" s="122"/>
      <c r="L440" s="122"/>
      <c r="M440" s="2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2.75" customHeight="1" x14ac:dyDescent="0.25">
      <c r="A441" s="2"/>
      <c r="B441" s="2"/>
      <c r="C441" s="2"/>
      <c r="D441" s="2"/>
      <c r="E441" s="25"/>
      <c r="F441" s="26"/>
      <c r="G441" s="2"/>
      <c r="H441" s="2"/>
      <c r="I441" s="124"/>
      <c r="J441" s="122"/>
      <c r="K441" s="122"/>
      <c r="L441" s="122"/>
      <c r="M441" s="2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2.75" customHeight="1" x14ac:dyDescent="0.25">
      <c r="A442" s="2"/>
      <c r="B442" s="2"/>
      <c r="C442" s="2"/>
      <c r="D442" s="2"/>
      <c r="E442" s="25"/>
      <c r="F442" s="26"/>
      <c r="G442" s="2"/>
      <c r="H442" s="2"/>
      <c r="I442" s="124"/>
      <c r="J442" s="122"/>
      <c r="K442" s="122"/>
      <c r="L442" s="122"/>
      <c r="M442" s="2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2.75" customHeight="1" x14ac:dyDescent="0.25">
      <c r="A443" s="2"/>
      <c r="B443" s="2"/>
      <c r="C443" s="2"/>
      <c r="D443" s="2"/>
      <c r="E443" s="25"/>
      <c r="F443" s="26"/>
      <c r="G443" s="2"/>
      <c r="H443" s="2"/>
      <c r="I443" s="124"/>
      <c r="J443" s="122"/>
      <c r="K443" s="122"/>
      <c r="L443" s="122"/>
      <c r="M443" s="2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2.75" customHeight="1" x14ac:dyDescent="0.25">
      <c r="A444" s="2"/>
      <c r="B444" s="2"/>
      <c r="C444" s="2"/>
      <c r="D444" s="2"/>
      <c r="E444" s="25"/>
      <c r="F444" s="26"/>
      <c r="G444" s="2"/>
      <c r="H444" s="2"/>
      <c r="I444" s="124"/>
      <c r="J444" s="122"/>
      <c r="K444" s="122"/>
      <c r="L444" s="122"/>
      <c r="M444" s="2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2.75" customHeight="1" x14ac:dyDescent="0.25">
      <c r="A445" s="2"/>
      <c r="B445" s="2"/>
      <c r="C445" s="2"/>
      <c r="D445" s="2"/>
      <c r="E445" s="25"/>
      <c r="F445" s="26"/>
      <c r="G445" s="2"/>
      <c r="H445" s="2"/>
      <c r="I445" s="124"/>
      <c r="J445" s="122"/>
      <c r="K445" s="122"/>
      <c r="L445" s="122"/>
      <c r="M445" s="2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2.75" customHeight="1" x14ac:dyDescent="0.25">
      <c r="A446" s="2"/>
      <c r="B446" s="2"/>
      <c r="C446" s="2"/>
      <c r="D446" s="2"/>
      <c r="E446" s="25"/>
      <c r="F446" s="26"/>
      <c r="G446" s="2"/>
      <c r="H446" s="2"/>
      <c r="I446" s="124"/>
      <c r="J446" s="122"/>
      <c r="K446" s="122"/>
      <c r="L446" s="122"/>
      <c r="M446" s="2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2.75" customHeight="1" x14ac:dyDescent="0.25">
      <c r="A447" s="2"/>
      <c r="B447" s="2"/>
      <c r="C447" s="2"/>
      <c r="D447" s="2"/>
      <c r="E447" s="25"/>
      <c r="F447" s="26"/>
      <c r="G447" s="2"/>
      <c r="H447" s="2"/>
      <c r="I447" s="124"/>
      <c r="J447" s="122"/>
      <c r="K447" s="122"/>
      <c r="L447" s="122"/>
      <c r="M447" s="2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2.75" customHeight="1" x14ac:dyDescent="0.25">
      <c r="A448" s="2"/>
      <c r="B448" s="2"/>
      <c r="C448" s="2"/>
      <c r="D448" s="2"/>
      <c r="E448" s="25"/>
      <c r="F448" s="26"/>
      <c r="G448" s="2"/>
      <c r="H448" s="2"/>
      <c r="I448" s="124"/>
      <c r="J448" s="122"/>
      <c r="K448" s="122"/>
      <c r="L448" s="122"/>
      <c r="M448" s="2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2.75" customHeight="1" x14ac:dyDescent="0.25">
      <c r="A449" s="2"/>
      <c r="B449" s="2"/>
      <c r="C449" s="2"/>
      <c r="D449" s="2"/>
      <c r="E449" s="25"/>
      <c r="F449" s="26"/>
      <c r="G449" s="2"/>
      <c r="H449" s="2"/>
      <c r="I449" s="124"/>
      <c r="J449" s="122"/>
      <c r="K449" s="122"/>
      <c r="L449" s="122"/>
      <c r="M449" s="2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2.75" customHeight="1" x14ac:dyDescent="0.25">
      <c r="A450" s="2"/>
      <c r="B450" s="2"/>
      <c r="C450" s="2"/>
      <c r="D450" s="2"/>
      <c r="E450" s="25"/>
      <c r="F450" s="26"/>
      <c r="G450" s="2"/>
      <c r="H450" s="2"/>
      <c r="I450" s="124"/>
      <c r="J450" s="122"/>
      <c r="K450" s="122"/>
      <c r="L450" s="122"/>
      <c r="M450" s="2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2.75" customHeight="1" x14ac:dyDescent="0.25">
      <c r="A451" s="2"/>
      <c r="B451" s="2"/>
      <c r="C451" s="2"/>
      <c r="D451" s="2"/>
      <c r="E451" s="25"/>
      <c r="F451" s="26"/>
      <c r="G451" s="2"/>
      <c r="H451" s="2"/>
      <c r="I451" s="124"/>
      <c r="J451" s="122"/>
      <c r="K451" s="122"/>
      <c r="L451" s="122"/>
      <c r="M451" s="2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2.75" customHeight="1" x14ac:dyDescent="0.25">
      <c r="A452" s="2"/>
      <c r="B452" s="2"/>
      <c r="C452" s="2"/>
      <c r="D452" s="2"/>
      <c r="E452" s="25"/>
      <c r="F452" s="26"/>
      <c r="G452" s="2"/>
      <c r="H452" s="2"/>
      <c r="I452" s="124"/>
      <c r="J452" s="122"/>
      <c r="K452" s="122"/>
      <c r="L452" s="122"/>
      <c r="M452" s="2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2.75" customHeight="1" x14ac:dyDescent="0.25">
      <c r="A453" s="2"/>
      <c r="B453" s="2"/>
      <c r="C453" s="2"/>
      <c r="D453" s="2"/>
      <c r="E453" s="25"/>
      <c r="F453" s="26"/>
      <c r="G453" s="2"/>
      <c r="H453" s="2"/>
      <c r="I453" s="124"/>
      <c r="J453" s="122"/>
      <c r="K453" s="122"/>
      <c r="L453" s="122"/>
      <c r="M453" s="2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2.75" customHeight="1" x14ac:dyDescent="0.25">
      <c r="A454" s="2"/>
      <c r="B454" s="2"/>
      <c r="C454" s="2"/>
      <c r="D454" s="2"/>
      <c r="E454" s="25"/>
      <c r="F454" s="26"/>
      <c r="G454" s="2"/>
      <c r="H454" s="2"/>
      <c r="I454" s="124"/>
      <c r="J454" s="122"/>
      <c r="K454" s="122"/>
      <c r="L454" s="122"/>
      <c r="M454" s="2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2.75" customHeight="1" x14ac:dyDescent="0.25">
      <c r="A455" s="2"/>
      <c r="B455" s="2"/>
      <c r="C455" s="2"/>
      <c r="D455" s="2"/>
      <c r="E455" s="25"/>
      <c r="F455" s="26"/>
      <c r="G455" s="2"/>
      <c r="H455" s="2"/>
      <c r="I455" s="124"/>
      <c r="J455" s="122"/>
      <c r="K455" s="122"/>
      <c r="L455" s="122"/>
      <c r="M455" s="2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2.75" customHeight="1" x14ac:dyDescent="0.25">
      <c r="A456" s="2"/>
      <c r="B456" s="2"/>
      <c r="C456" s="2"/>
      <c r="D456" s="2"/>
      <c r="E456" s="25"/>
      <c r="F456" s="26"/>
      <c r="G456" s="2"/>
      <c r="H456" s="2"/>
      <c r="I456" s="124"/>
      <c r="J456" s="122"/>
      <c r="K456" s="122"/>
      <c r="L456" s="122"/>
      <c r="M456" s="2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2.75" customHeight="1" x14ac:dyDescent="0.25">
      <c r="A457" s="2"/>
      <c r="B457" s="2"/>
      <c r="C457" s="2"/>
      <c r="D457" s="2"/>
      <c r="E457" s="25"/>
      <c r="F457" s="26"/>
      <c r="G457" s="2"/>
      <c r="H457" s="2"/>
      <c r="I457" s="124"/>
      <c r="J457" s="122"/>
      <c r="K457" s="122"/>
      <c r="L457" s="122"/>
      <c r="M457" s="2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2.75" customHeight="1" x14ac:dyDescent="0.25">
      <c r="A458" s="2"/>
      <c r="B458" s="2"/>
      <c r="C458" s="2"/>
      <c r="D458" s="2"/>
      <c r="E458" s="25"/>
      <c r="F458" s="26"/>
      <c r="G458" s="2"/>
      <c r="H458" s="2"/>
      <c r="I458" s="124"/>
      <c r="J458" s="122"/>
      <c r="K458" s="122"/>
      <c r="L458" s="122"/>
      <c r="M458" s="2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2.75" customHeight="1" x14ac:dyDescent="0.25">
      <c r="A459" s="2"/>
      <c r="B459" s="2"/>
      <c r="C459" s="2"/>
      <c r="D459" s="2"/>
      <c r="E459" s="25"/>
      <c r="F459" s="26"/>
      <c r="G459" s="2"/>
      <c r="H459" s="2"/>
      <c r="I459" s="124"/>
      <c r="J459" s="122"/>
      <c r="K459" s="122"/>
      <c r="L459" s="122"/>
      <c r="M459" s="2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2.75" customHeight="1" x14ac:dyDescent="0.25">
      <c r="A460" s="2"/>
      <c r="B460" s="2"/>
      <c r="C460" s="2"/>
      <c r="D460" s="2"/>
      <c r="E460" s="25"/>
      <c r="F460" s="26"/>
      <c r="G460" s="2"/>
      <c r="H460" s="2"/>
      <c r="I460" s="124"/>
      <c r="J460" s="122"/>
      <c r="K460" s="122"/>
      <c r="L460" s="122"/>
      <c r="M460" s="2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2.75" customHeight="1" x14ac:dyDescent="0.25">
      <c r="A461" s="2"/>
      <c r="B461" s="2"/>
      <c r="C461" s="2"/>
      <c r="D461" s="2"/>
      <c r="E461" s="25"/>
      <c r="F461" s="26"/>
      <c r="G461" s="2"/>
      <c r="H461" s="2"/>
      <c r="I461" s="124"/>
      <c r="J461" s="122"/>
      <c r="K461" s="122"/>
      <c r="L461" s="122"/>
      <c r="M461" s="2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2.75" customHeight="1" x14ac:dyDescent="0.25">
      <c r="A462" s="2"/>
      <c r="B462" s="2"/>
      <c r="C462" s="2"/>
      <c r="D462" s="2"/>
      <c r="E462" s="25"/>
      <c r="F462" s="26"/>
      <c r="G462" s="2"/>
      <c r="H462" s="2"/>
      <c r="I462" s="124"/>
      <c r="J462" s="122"/>
      <c r="K462" s="122"/>
      <c r="L462" s="122"/>
      <c r="M462" s="2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2.75" customHeight="1" x14ac:dyDescent="0.25">
      <c r="A463" s="2"/>
      <c r="B463" s="2"/>
      <c r="C463" s="2"/>
      <c r="D463" s="2"/>
      <c r="E463" s="25"/>
      <c r="F463" s="26"/>
      <c r="G463" s="2"/>
      <c r="H463" s="2"/>
      <c r="I463" s="124"/>
      <c r="J463" s="122"/>
      <c r="K463" s="122"/>
      <c r="L463" s="122"/>
      <c r="M463" s="2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2.75" customHeight="1" x14ac:dyDescent="0.25">
      <c r="A464" s="2"/>
      <c r="B464" s="2"/>
      <c r="C464" s="2"/>
      <c r="D464" s="2"/>
      <c r="E464" s="25"/>
      <c r="F464" s="26"/>
      <c r="G464" s="2"/>
      <c r="H464" s="2"/>
      <c r="I464" s="124"/>
      <c r="J464" s="122"/>
      <c r="K464" s="122"/>
      <c r="L464" s="122"/>
      <c r="M464" s="2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2.75" customHeight="1" x14ac:dyDescent="0.25">
      <c r="A465" s="2"/>
      <c r="B465" s="2"/>
      <c r="C465" s="2"/>
      <c r="D465" s="2"/>
      <c r="E465" s="25"/>
      <c r="F465" s="26"/>
      <c r="G465" s="2"/>
      <c r="H465" s="2"/>
      <c r="I465" s="124"/>
      <c r="J465" s="122"/>
      <c r="K465" s="122"/>
      <c r="L465" s="122"/>
      <c r="M465" s="2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2.75" customHeight="1" x14ac:dyDescent="0.25">
      <c r="A466" s="2"/>
      <c r="B466" s="2"/>
      <c r="C466" s="2"/>
      <c r="D466" s="2"/>
      <c r="E466" s="25"/>
      <c r="F466" s="26"/>
      <c r="G466" s="2"/>
      <c r="H466" s="2"/>
      <c r="I466" s="124"/>
      <c r="J466" s="122"/>
      <c r="K466" s="122"/>
      <c r="L466" s="122"/>
      <c r="M466" s="2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2.75" customHeight="1" x14ac:dyDescent="0.25">
      <c r="A467" s="2"/>
      <c r="B467" s="2"/>
      <c r="C467" s="2"/>
      <c r="D467" s="2"/>
      <c r="E467" s="25"/>
      <c r="F467" s="26"/>
      <c r="G467" s="2"/>
      <c r="H467" s="2"/>
      <c r="I467" s="124"/>
      <c r="J467" s="122"/>
      <c r="K467" s="122"/>
      <c r="L467" s="122"/>
      <c r="M467" s="2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2.75" customHeight="1" x14ac:dyDescent="0.25">
      <c r="A468" s="2"/>
      <c r="B468" s="2"/>
      <c r="C468" s="2"/>
      <c r="D468" s="2"/>
      <c r="E468" s="25"/>
      <c r="F468" s="26"/>
      <c r="G468" s="2"/>
      <c r="H468" s="2"/>
      <c r="I468" s="124"/>
      <c r="J468" s="122"/>
      <c r="K468" s="122"/>
      <c r="L468" s="122"/>
      <c r="M468" s="2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2.75" customHeight="1" x14ac:dyDescent="0.25">
      <c r="A469" s="2"/>
      <c r="B469" s="2"/>
      <c r="C469" s="2"/>
      <c r="D469" s="2"/>
      <c r="E469" s="25"/>
      <c r="F469" s="26"/>
      <c r="G469" s="2"/>
      <c r="H469" s="2"/>
      <c r="I469" s="124"/>
      <c r="J469" s="122"/>
      <c r="K469" s="122"/>
      <c r="L469" s="122"/>
      <c r="M469" s="2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2.75" customHeight="1" x14ac:dyDescent="0.25">
      <c r="A470" s="2"/>
      <c r="B470" s="2"/>
      <c r="C470" s="2"/>
      <c r="D470" s="2"/>
      <c r="E470" s="25"/>
      <c r="F470" s="26"/>
      <c r="G470" s="2"/>
      <c r="H470" s="2"/>
      <c r="I470" s="124"/>
      <c r="J470" s="122"/>
      <c r="K470" s="122"/>
      <c r="L470" s="122"/>
      <c r="M470" s="2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2.75" customHeight="1" x14ac:dyDescent="0.25">
      <c r="A471" s="2"/>
      <c r="B471" s="2"/>
      <c r="C471" s="2"/>
      <c r="D471" s="2"/>
      <c r="E471" s="25"/>
      <c r="F471" s="26"/>
      <c r="G471" s="2"/>
      <c r="H471" s="2"/>
      <c r="I471" s="124"/>
      <c r="J471" s="122"/>
      <c r="K471" s="122"/>
      <c r="L471" s="122"/>
      <c r="M471" s="2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2.75" customHeight="1" x14ac:dyDescent="0.25">
      <c r="A472" s="2"/>
      <c r="B472" s="2"/>
      <c r="C472" s="2"/>
      <c r="D472" s="2"/>
      <c r="E472" s="25"/>
      <c r="F472" s="26"/>
      <c r="G472" s="2"/>
      <c r="H472" s="2"/>
      <c r="I472" s="124"/>
      <c r="J472" s="122"/>
      <c r="K472" s="122"/>
      <c r="L472" s="122"/>
      <c r="M472" s="2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2.75" customHeight="1" x14ac:dyDescent="0.25">
      <c r="A473" s="2"/>
      <c r="B473" s="2"/>
      <c r="C473" s="2"/>
      <c r="D473" s="2"/>
      <c r="E473" s="25"/>
      <c r="F473" s="26"/>
      <c r="G473" s="2"/>
      <c r="H473" s="2"/>
      <c r="I473" s="124"/>
      <c r="J473" s="122"/>
      <c r="K473" s="122"/>
      <c r="L473" s="122"/>
      <c r="M473" s="2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2.75" customHeight="1" x14ac:dyDescent="0.25">
      <c r="A474" s="2"/>
      <c r="B474" s="2"/>
      <c r="C474" s="2"/>
      <c r="D474" s="2"/>
      <c r="E474" s="25"/>
      <c r="F474" s="26"/>
      <c r="G474" s="2"/>
      <c r="H474" s="2"/>
      <c r="I474" s="124"/>
      <c r="J474" s="122"/>
      <c r="K474" s="122"/>
      <c r="L474" s="122"/>
      <c r="M474" s="2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2.75" customHeight="1" x14ac:dyDescent="0.25">
      <c r="A475" s="2"/>
      <c r="B475" s="2"/>
      <c r="C475" s="2"/>
      <c r="D475" s="2"/>
      <c r="E475" s="25"/>
      <c r="F475" s="26"/>
      <c r="G475" s="2"/>
      <c r="H475" s="2"/>
      <c r="I475" s="124"/>
      <c r="J475" s="122"/>
      <c r="K475" s="122"/>
      <c r="L475" s="122"/>
      <c r="M475" s="2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2.75" customHeight="1" x14ac:dyDescent="0.25">
      <c r="A476" s="2"/>
      <c r="B476" s="2"/>
      <c r="C476" s="2"/>
      <c r="D476" s="2"/>
      <c r="E476" s="25"/>
      <c r="F476" s="26"/>
      <c r="G476" s="2"/>
      <c r="H476" s="2"/>
      <c r="I476" s="124"/>
      <c r="J476" s="122"/>
      <c r="K476" s="122"/>
      <c r="L476" s="122"/>
      <c r="M476" s="2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2.75" customHeight="1" x14ac:dyDescent="0.25">
      <c r="A477" s="2"/>
      <c r="B477" s="2"/>
      <c r="C477" s="2"/>
      <c r="D477" s="2"/>
      <c r="E477" s="25"/>
      <c r="F477" s="26"/>
      <c r="G477" s="2"/>
      <c r="H477" s="2"/>
      <c r="I477" s="124"/>
      <c r="J477" s="122"/>
      <c r="K477" s="122"/>
      <c r="L477" s="122"/>
      <c r="M477" s="2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2.75" customHeight="1" x14ac:dyDescent="0.25">
      <c r="A478" s="2"/>
      <c r="B478" s="2"/>
      <c r="C478" s="2"/>
      <c r="D478" s="2"/>
      <c r="E478" s="25"/>
      <c r="F478" s="26"/>
      <c r="G478" s="2"/>
      <c r="H478" s="2"/>
      <c r="I478" s="124"/>
      <c r="J478" s="122"/>
      <c r="K478" s="122"/>
      <c r="L478" s="122"/>
      <c r="M478" s="2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2.75" customHeight="1" x14ac:dyDescent="0.25">
      <c r="A479" s="2"/>
      <c r="B479" s="2"/>
      <c r="C479" s="2"/>
      <c r="D479" s="2"/>
      <c r="E479" s="25"/>
      <c r="F479" s="26"/>
      <c r="G479" s="2"/>
      <c r="H479" s="2"/>
      <c r="I479" s="124"/>
      <c r="J479" s="122"/>
      <c r="K479" s="122"/>
      <c r="L479" s="122"/>
      <c r="M479" s="2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2.75" customHeight="1" x14ac:dyDescent="0.25">
      <c r="A480" s="2"/>
      <c r="B480" s="2"/>
      <c r="C480" s="2"/>
      <c r="D480" s="2"/>
      <c r="E480" s="25"/>
      <c r="F480" s="26"/>
      <c r="G480" s="2"/>
      <c r="H480" s="2"/>
      <c r="I480" s="124"/>
      <c r="J480" s="122"/>
      <c r="K480" s="122"/>
      <c r="L480" s="122"/>
      <c r="M480" s="2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2.75" customHeight="1" x14ac:dyDescent="0.25">
      <c r="A481" s="2"/>
      <c r="B481" s="2"/>
      <c r="C481" s="2"/>
      <c r="D481" s="2"/>
      <c r="E481" s="25"/>
      <c r="F481" s="26"/>
      <c r="G481" s="2"/>
      <c r="H481" s="2"/>
      <c r="I481" s="124"/>
      <c r="J481" s="122"/>
      <c r="K481" s="122"/>
      <c r="L481" s="122"/>
      <c r="M481" s="2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2.75" customHeight="1" x14ac:dyDescent="0.25">
      <c r="A482" s="2"/>
      <c r="B482" s="2"/>
      <c r="C482" s="2"/>
      <c r="D482" s="2"/>
      <c r="E482" s="25"/>
      <c r="F482" s="26"/>
      <c r="G482" s="2"/>
      <c r="H482" s="2"/>
      <c r="I482" s="124"/>
      <c r="J482" s="122"/>
      <c r="K482" s="122"/>
      <c r="L482" s="122"/>
      <c r="M482" s="2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2.75" customHeight="1" x14ac:dyDescent="0.25">
      <c r="A483" s="2"/>
      <c r="B483" s="2"/>
      <c r="C483" s="2"/>
      <c r="D483" s="2"/>
      <c r="E483" s="25"/>
      <c r="F483" s="26"/>
      <c r="G483" s="2"/>
      <c r="H483" s="2"/>
      <c r="I483" s="124"/>
      <c r="J483" s="122"/>
      <c r="K483" s="122"/>
      <c r="L483" s="122"/>
      <c r="M483" s="2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2.75" customHeight="1" x14ac:dyDescent="0.25">
      <c r="A484" s="2"/>
      <c r="B484" s="2"/>
      <c r="C484" s="2"/>
      <c r="D484" s="2"/>
      <c r="E484" s="25"/>
      <c r="F484" s="26"/>
      <c r="G484" s="2"/>
      <c r="H484" s="2"/>
      <c r="I484" s="124"/>
      <c r="J484" s="122"/>
      <c r="K484" s="122"/>
      <c r="L484" s="122"/>
      <c r="M484" s="2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2.75" customHeight="1" x14ac:dyDescent="0.25">
      <c r="A485" s="2"/>
      <c r="B485" s="2"/>
      <c r="C485" s="2"/>
      <c r="D485" s="2"/>
      <c r="E485" s="25"/>
      <c r="F485" s="26"/>
      <c r="G485" s="2"/>
      <c r="H485" s="2"/>
      <c r="I485" s="124"/>
      <c r="J485" s="122"/>
      <c r="K485" s="122"/>
      <c r="L485" s="122"/>
      <c r="M485" s="2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2.75" customHeight="1" x14ac:dyDescent="0.25">
      <c r="A486" s="2"/>
      <c r="B486" s="2"/>
      <c r="C486" s="2"/>
      <c r="D486" s="2"/>
      <c r="E486" s="25"/>
      <c r="F486" s="26"/>
      <c r="G486" s="2"/>
      <c r="H486" s="2"/>
      <c r="I486" s="124"/>
      <c r="J486" s="122"/>
      <c r="K486" s="122"/>
      <c r="L486" s="122"/>
      <c r="M486" s="2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2.75" customHeight="1" x14ac:dyDescent="0.25">
      <c r="A487" s="2"/>
      <c r="B487" s="2"/>
      <c r="C487" s="2"/>
      <c r="D487" s="2"/>
      <c r="E487" s="25"/>
      <c r="F487" s="26"/>
      <c r="G487" s="2"/>
      <c r="H487" s="2"/>
      <c r="I487" s="124"/>
      <c r="J487" s="122"/>
      <c r="K487" s="122"/>
      <c r="L487" s="122"/>
      <c r="M487" s="2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2.75" customHeight="1" x14ac:dyDescent="0.25">
      <c r="A488" s="2"/>
      <c r="B488" s="2"/>
      <c r="C488" s="2"/>
      <c r="D488" s="2"/>
      <c r="E488" s="25"/>
      <c r="F488" s="26"/>
      <c r="G488" s="2"/>
      <c r="H488" s="2"/>
      <c r="I488" s="124"/>
      <c r="J488" s="122"/>
      <c r="K488" s="122"/>
      <c r="L488" s="122"/>
      <c r="M488" s="2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2.75" customHeight="1" x14ac:dyDescent="0.25">
      <c r="A489" s="2"/>
      <c r="B489" s="2"/>
      <c r="C489" s="2"/>
      <c r="D489" s="2"/>
      <c r="E489" s="25"/>
      <c r="F489" s="26"/>
      <c r="G489" s="2"/>
      <c r="H489" s="2"/>
      <c r="I489" s="124"/>
      <c r="J489" s="122"/>
      <c r="K489" s="122"/>
      <c r="L489" s="122"/>
      <c r="M489" s="2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2.75" customHeight="1" x14ac:dyDescent="0.25">
      <c r="A490" s="2"/>
      <c r="B490" s="2"/>
      <c r="C490" s="2"/>
      <c r="D490" s="2"/>
      <c r="E490" s="25"/>
      <c r="F490" s="26"/>
      <c r="G490" s="2"/>
      <c r="H490" s="2"/>
      <c r="I490" s="124"/>
      <c r="J490" s="122"/>
      <c r="K490" s="122"/>
      <c r="L490" s="122"/>
      <c r="M490" s="2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2.75" customHeight="1" x14ac:dyDescent="0.25">
      <c r="A491" s="2"/>
      <c r="B491" s="2"/>
      <c r="C491" s="2"/>
      <c r="D491" s="2"/>
      <c r="E491" s="25"/>
      <c r="F491" s="26"/>
      <c r="G491" s="2"/>
      <c r="H491" s="2"/>
      <c r="I491" s="124"/>
      <c r="J491" s="122"/>
      <c r="K491" s="122"/>
      <c r="L491" s="122"/>
      <c r="M491" s="2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2.75" customHeight="1" x14ac:dyDescent="0.25">
      <c r="A492" s="2"/>
      <c r="B492" s="2"/>
      <c r="C492" s="2"/>
      <c r="D492" s="2"/>
      <c r="E492" s="25"/>
      <c r="F492" s="26"/>
      <c r="G492" s="2"/>
      <c r="H492" s="2"/>
      <c r="I492" s="124"/>
      <c r="J492" s="122"/>
      <c r="K492" s="122"/>
      <c r="L492" s="122"/>
      <c r="M492" s="2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2.75" customHeight="1" x14ac:dyDescent="0.25">
      <c r="A493" s="2"/>
      <c r="B493" s="2"/>
      <c r="C493" s="2"/>
      <c r="D493" s="2"/>
      <c r="E493" s="25"/>
      <c r="F493" s="26"/>
      <c r="G493" s="2"/>
      <c r="H493" s="2"/>
      <c r="I493" s="124"/>
      <c r="J493" s="122"/>
      <c r="K493" s="122"/>
      <c r="L493" s="122"/>
      <c r="M493" s="2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2.75" customHeight="1" x14ac:dyDescent="0.25">
      <c r="A494" s="2"/>
      <c r="B494" s="2"/>
      <c r="C494" s="2"/>
      <c r="D494" s="2"/>
      <c r="E494" s="25"/>
      <c r="F494" s="26"/>
      <c r="G494" s="2"/>
      <c r="H494" s="2"/>
      <c r="I494" s="124"/>
      <c r="J494" s="122"/>
      <c r="K494" s="122"/>
      <c r="L494" s="122"/>
      <c r="M494" s="2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2.75" customHeight="1" x14ac:dyDescent="0.25">
      <c r="A495" s="2"/>
      <c r="B495" s="2"/>
      <c r="C495" s="2"/>
      <c r="D495" s="2"/>
      <c r="E495" s="25"/>
      <c r="F495" s="26"/>
      <c r="G495" s="2"/>
      <c r="H495" s="2"/>
      <c r="I495" s="124"/>
      <c r="J495" s="122"/>
      <c r="K495" s="122"/>
      <c r="L495" s="122"/>
      <c r="M495" s="2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2.75" customHeight="1" x14ac:dyDescent="0.25">
      <c r="A496" s="2"/>
      <c r="B496" s="2"/>
      <c r="C496" s="2"/>
      <c r="D496" s="2"/>
      <c r="E496" s="25"/>
      <c r="F496" s="26"/>
      <c r="G496" s="2"/>
      <c r="H496" s="2"/>
      <c r="I496" s="124"/>
      <c r="J496" s="122"/>
      <c r="K496" s="122"/>
      <c r="L496" s="122"/>
      <c r="M496" s="2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2.75" customHeight="1" x14ac:dyDescent="0.25">
      <c r="A497" s="2"/>
      <c r="B497" s="2"/>
      <c r="C497" s="2"/>
      <c r="D497" s="2"/>
      <c r="E497" s="25"/>
      <c r="F497" s="26"/>
      <c r="G497" s="2"/>
      <c r="H497" s="2"/>
      <c r="I497" s="124"/>
      <c r="J497" s="122"/>
      <c r="K497" s="122"/>
      <c r="L497" s="122"/>
      <c r="M497" s="2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2.75" customHeight="1" x14ac:dyDescent="0.25">
      <c r="A498" s="2"/>
      <c r="B498" s="2"/>
      <c r="C498" s="2"/>
      <c r="D498" s="2"/>
      <c r="E498" s="25"/>
      <c r="F498" s="26"/>
      <c r="G498" s="2"/>
      <c r="H498" s="2"/>
      <c r="I498" s="124"/>
      <c r="J498" s="122"/>
      <c r="K498" s="122"/>
      <c r="L498" s="122"/>
      <c r="M498" s="2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2.75" customHeight="1" x14ac:dyDescent="0.25">
      <c r="A499" s="2"/>
      <c r="B499" s="2"/>
      <c r="C499" s="2"/>
      <c r="D499" s="2"/>
      <c r="E499" s="25"/>
      <c r="F499" s="26"/>
      <c r="G499" s="2"/>
      <c r="H499" s="2"/>
      <c r="I499" s="124"/>
      <c r="J499" s="122"/>
      <c r="K499" s="122"/>
      <c r="L499" s="122"/>
      <c r="M499" s="2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2.75" customHeight="1" x14ac:dyDescent="0.25">
      <c r="A500" s="2"/>
      <c r="B500" s="2"/>
      <c r="C500" s="2"/>
      <c r="D500" s="2"/>
      <c r="E500" s="25"/>
      <c r="F500" s="26"/>
      <c r="G500" s="2"/>
      <c r="H500" s="2"/>
      <c r="I500" s="124"/>
      <c r="J500" s="122"/>
      <c r="K500" s="122"/>
      <c r="L500" s="122"/>
      <c r="M500" s="2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2.75" customHeight="1" x14ac:dyDescent="0.25">
      <c r="A501" s="2"/>
      <c r="B501" s="2"/>
      <c r="C501" s="2"/>
      <c r="D501" s="2"/>
      <c r="E501" s="25"/>
      <c r="F501" s="26"/>
      <c r="G501" s="2"/>
      <c r="H501" s="2"/>
      <c r="I501" s="124"/>
      <c r="J501" s="122"/>
      <c r="K501" s="122"/>
      <c r="L501" s="122"/>
      <c r="M501" s="2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2.75" customHeight="1" x14ac:dyDescent="0.25">
      <c r="A502" s="2"/>
      <c r="B502" s="2"/>
      <c r="C502" s="2"/>
      <c r="D502" s="2"/>
      <c r="E502" s="25"/>
      <c r="F502" s="26"/>
      <c r="G502" s="2"/>
      <c r="H502" s="2"/>
      <c r="I502" s="124"/>
      <c r="J502" s="122"/>
      <c r="K502" s="122"/>
      <c r="L502" s="122"/>
      <c r="M502" s="2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2.75" customHeight="1" x14ac:dyDescent="0.25">
      <c r="A503" s="2"/>
      <c r="B503" s="2"/>
      <c r="C503" s="2"/>
      <c r="D503" s="2"/>
      <c r="E503" s="25"/>
      <c r="F503" s="26"/>
      <c r="G503" s="2"/>
      <c r="H503" s="2"/>
      <c r="I503" s="124"/>
      <c r="J503" s="122"/>
      <c r="K503" s="122"/>
      <c r="L503" s="122"/>
      <c r="M503" s="2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2.75" customHeight="1" x14ac:dyDescent="0.25">
      <c r="A504" s="2"/>
      <c r="B504" s="2"/>
      <c r="C504" s="2"/>
      <c r="D504" s="2"/>
      <c r="E504" s="25"/>
      <c r="F504" s="26"/>
      <c r="G504" s="2"/>
      <c r="H504" s="2"/>
      <c r="I504" s="124"/>
      <c r="J504" s="122"/>
      <c r="K504" s="122"/>
      <c r="L504" s="122"/>
      <c r="M504" s="2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2.75" customHeight="1" x14ac:dyDescent="0.25">
      <c r="A505" s="2"/>
      <c r="B505" s="2"/>
      <c r="C505" s="2"/>
      <c r="D505" s="2"/>
      <c r="E505" s="25"/>
      <c r="F505" s="26"/>
      <c r="G505" s="2"/>
      <c r="H505" s="2"/>
      <c r="I505" s="124"/>
      <c r="J505" s="122"/>
      <c r="K505" s="122"/>
      <c r="L505" s="122"/>
      <c r="M505" s="2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2.75" customHeight="1" x14ac:dyDescent="0.25">
      <c r="A506" s="2"/>
      <c r="B506" s="2"/>
      <c r="C506" s="2"/>
      <c r="D506" s="2"/>
      <c r="E506" s="25"/>
      <c r="F506" s="26"/>
      <c r="G506" s="2"/>
      <c r="H506" s="2"/>
      <c r="I506" s="124"/>
      <c r="J506" s="122"/>
      <c r="K506" s="122"/>
      <c r="L506" s="122"/>
      <c r="M506" s="2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2.75" customHeight="1" x14ac:dyDescent="0.25">
      <c r="A507" s="2"/>
      <c r="B507" s="2"/>
      <c r="C507" s="2"/>
      <c r="D507" s="2"/>
      <c r="E507" s="25"/>
      <c r="F507" s="26"/>
      <c r="G507" s="2"/>
      <c r="H507" s="2"/>
      <c r="I507" s="124"/>
      <c r="J507" s="122"/>
      <c r="K507" s="122"/>
      <c r="L507" s="122"/>
      <c r="M507" s="2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2.75" customHeight="1" x14ac:dyDescent="0.25">
      <c r="A508" s="2"/>
      <c r="B508" s="2"/>
      <c r="C508" s="2"/>
      <c r="D508" s="2"/>
      <c r="E508" s="25"/>
      <c r="F508" s="26"/>
      <c r="G508" s="2"/>
      <c r="H508" s="2"/>
      <c r="I508" s="124"/>
      <c r="J508" s="122"/>
      <c r="K508" s="122"/>
      <c r="L508" s="122"/>
      <c r="M508" s="2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2.75" customHeight="1" x14ac:dyDescent="0.25">
      <c r="A509" s="2"/>
      <c r="B509" s="2"/>
      <c r="C509" s="2"/>
      <c r="D509" s="2"/>
      <c r="E509" s="25"/>
      <c r="F509" s="26"/>
      <c r="G509" s="2"/>
      <c r="H509" s="2"/>
      <c r="I509" s="124"/>
      <c r="J509" s="122"/>
      <c r="K509" s="122"/>
      <c r="L509" s="122"/>
      <c r="M509" s="2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2.75" customHeight="1" x14ac:dyDescent="0.25">
      <c r="A510" s="2"/>
      <c r="B510" s="2"/>
      <c r="C510" s="2"/>
      <c r="D510" s="2"/>
      <c r="E510" s="25"/>
      <c r="F510" s="26"/>
      <c r="G510" s="2"/>
      <c r="H510" s="2"/>
      <c r="I510" s="124"/>
      <c r="J510" s="122"/>
      <c r="K510" s="122"/>
      <c r="L510" s="122"/>
      <c r="M510" s="2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2.75" customHeight="1" x14ac:dyDescent="0.25">
      <c r="A511" s="2"/>
      <c r="B511" s="2"/>
      <c r="C511" s="2"/>
      <c r="D511" s="2"/>
      <c r="E511" s="25"/>
      <c r="F511" s="26"/>
      <c r="G511" s="2"/>
      <c r="H511" s="2"/>
      <c r="I511" s="124"/>
      <c r="J511" s="122"/>
      <c r="K511" s="122"/>
      <c r="L511" s="122"/>
      <c r="M511" s="2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2.75" customHeight="1" x14ac:dyDescent="0.25">
      <c r="A512" s="2"/>
      <c r="B512" s="2"/>
      <c r="C512" s="2"/>
      <c r="D512" s="2"/>
      <c r="E512" s="25"/>
      <c r="F512" s="26"/>
      <c r="G512" s="2"/>
      <c r="H512" s="2"/>
      <c r="I512" s="124"/>
      <c r="J512" s="122"/>
      <c r="K512" s="122"/>
      <c r="L512" s="122"/>
      <c r="M512" s="2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2.75" customHeight="1" x14ac:dyDescent="0.25">
      <c r="A513" s="2"/>
      <c r="B513" s="2"/>
      <c r="C513" s="2"/>
      <c r="D513" s="2"/>
      <c r="E513" s="25"/>
      <c r="F513" s="26"/>
      <c r="G513" s="2"/>
      <c r="H513" s="2"/>
      <c r="I513" s="124"/>
      <c r="J513" s="122"/>
      <c r="K513" s="122"/>
      <c r="L513" s="122"/>
      <c r="M513" s="2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2.75" customHeight="1" x14ac:dyDescent="0.25">
      <c r="A514" s="2"/>
      <c r="B514" s="2"/>
      <c r="C514" s="2"/>
      <c r="D514" s="2"/>
      <c r="E514" s="25"/>
      <c r="F514" s="26"/>
      <c r="G514" s="2"/>
      <c r="H514" s="2"/>
      <c r="I514" s="124"/>
      <c r="J514" s="122"/>
      <c r="K514" s="122"/>
      <c r="L514" s="122"/>
      <c r="M514" s="2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2.75" customHeight="1" x14ac:dyDescent="0.25">
      <c r="A515" s="2"/>
      <c r="B515" s="2"/>
      <c r="C515" s="2"/>
      <c r="D515" s="2"/>
      <c r="E515" s="25"/>
      <c r="F515" s="26"/>
      <c r="G515" s="2"/>
      <c r="H515" s="2"/>
      <c r="I515" s="124"/>
      <c r="J515" s="122"/>
      <c r="K515" s="122"/>
      <c r="L515" s="122"/>
      <c r="M515" s="2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2.75" customHeight="1" x14ac:dyDescent="0.25">
      <c r="A516" s="2"/>
      <c r="B516" s="2"/>
      <c r="C516" s="2"/>
      <c r="D516" s="2"/>
      <c r="E516" s="25"/>
      <c r="F516" s="26"/>
      <c r="G516" s="2"/>
      <c r="H516" s="2"/>
      <c r="I516" s="124"/>
      <c r="J516" s="122"/>
      <c r="K516" s="122"/>
      <c r="L516" s="122"/>
      <c r="M516" s="2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2.75" customHeight="1" x14ac:dyDescent="0.25">
      <c r="A517" s="2"/>
      <c r="B517" s="2"/>
      <c r="C517" s="2"/>
      <c r="D517" s="2"/>
      <c r="E517" s="25"/>
      <c r="F517" s="26"/>
      <c r="G517" s="2"/>
      <c r="H517" s="2"/>
      <c r="I517" s="124"/>
      <c r="J517" s="122"/>
      <c r="K517" s="122"/>
      <c r="L517" s="122"/>
      <c r="M517" s="2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2.75" customHeight="1" x14ac:dyDescent="0.25">
      <c r="A518" s="2"/>
      <c r="B518" s="2"/>
      <c r="C518" s="2"/>
      <c r="D518" s="2"/>
      <c r="E518" s="25"/>
      <c r="F518" s="26"/>
      <c r="G518" s="2"/>
      <c r="H518" s="2"/>
      <c r="I518" s="124"/>
      <c r="J518" s="122"/>
      <c r="K518" s="122"/>
      <c r="L518" s="122"/>
      <c r="M518" s="2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2.75" customHeight="1" x14ac:dyDescent="0.25">
      <c r="A519" s="2"/>
      <c r="B519" s="2"/>
      <c r="C519" s="2"/>
      <c r="D519" s="2"/>
      <c r="E519" s="25"/>
      <c r="F519" s="26"/>
      <c r="G519" s="2"/>
      <c r="H519" s="2"/>
      <c r="I519" s="124"/>
      <c r="J519" s="122"/>
      <c r="K519" s="122"/>
      <c r="L519" s="122"/>
      <c r="M519" s="2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2.75" customHeight="1" x14ac:dyDescent="0.25">
      <c r="A520" s="2"/>
      <c r="B520" s="2"/>
      <c r="C520" s="2"/>
      <c r="D520" s="2"/>
      <c r="E520" s="25"/>
      <c r="F520" s="26"/>
      <c r="G520" s="2"/>
      <c r="H520" s="2"/>
      <c r="I520" s="124"/>
      <c r="J520" s="122"/>
      <c r="K520" s="122"/>
      <c r="L520" s="122"/>
      <c r="M520" s="2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2.75" customHeight="1" x14ac:dyDescent="0.25">
      <c r="A521" s="2"/>
      <c r="B521" s="2"/>
      <c r="C521" s="2"/>
      <c r="D521" s="2"/>
      <c r="E521" s="25"/>
      <c r="F521" s="26"/>
      <c r="G521" s="2"/>
      <c r="H521" s="2"/>
      <c r="I521" s="124"/>
      <c r="J521" s="122"/>
      <c r="K521" s="122"/>
      <c r="L521" s="122"/>
      <c r="M521" s="2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2.75" customHeight="1" x14ac:dyDescent="0.25">
      <c r="A522" s="2"/>
      <c r="B522" s="2"/>
      <c r="C522" s="2"/>
      <c r="D522" s="2"/>
      <c r="E522" s="25"/>
      <c r="F522" s="26"/>
      <c r="G522" s="2"/>
      <c r="H522" s="2"/>
      <c r="I522" s="124"/>
      <c r="J522" s="122"/>
      <c r="K522" s="122"/>
      <c r="L522" s="122"/>
      <c r="M522" s="2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2.75" customHeight="1" x14ac:dyDescent="0.25">
      <c r="A523" s="2"/>
      <c r="B523" s="2"/>
      <c r="C523" s="2"/>
      <c r="D523" s="2"/>
      <c r="E523" s="25"/>
      <c r="F523" s="26"/>
      <c r="G523" s="2"/>
      <c r="H523" s="2"/>
      <c r="I523" s="124"/>
      <c r="J523" s="122"/>
      <c r="K523" s="122"/>
      <c r="L523" s="122"/>
      <c r="M523" s="2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2.75" customHeight="1" x14ac:dyDescent="0.25">
      <c r="A524" s="2"/>
      <c r="B524" s="2"/>
      <c r="C524" s="2"/>
      <c r="D524" s="2"/>
      <c r="E524" s="25"/>
      <c r="F524" s="26"/>
      <c r="G524" s="2"/>
      <c r="H524" s="2"/>
      <c r="I524" s="124"/>
      <c r="J524" s="122"/>
      <c r="K524" s="122"/>
      <c r="L524" s="122"/>
      <c r="M524" s="2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2.75" customHeight="1" x14ac:dyDescent="0.25">
      <c r="A525" s="2"/>
      <c r="B525" s="2"/>
      <c r="C525" s="2"/>
      <c r="D525" s="2"/>
      <c r="E525" s="25"/>
      <c r="F525" s="26"/>
      <c r="G525" s="2"/>
      <c r="H525" s="2"/>
      <c r="I525" s="124"/>
      <c r="J525" s="122"/>
      <c r="K525" s="122"/>
      <c r="L525" s="122"/>
      <c r="M525" s="2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2.75" customHeight="1" x14ac:dyDescent="0.25">
      <c r="A526" s="2"/>
      <c r="B526" s="2"/>
      <c r="C526" s="2"/>
      <c r="D526" s="2"/>
      <c r="E526" s="25"/>
      <c r="F526" s="26"/>
      <c r="G526" s="2"/>
      <c r="H526" s="2"/>
      <c r="I526" s="124"/>
      <c r="J526" s="122"/>
      <c r="K526" s="122"/>
      <c r="L526" s="122"/>
      <c r="M526" s="2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2.75" customHeight="1" x14ac:dyDescent="0.25">
      <c r="A527" s="2"/>
      <c r="B527" s="2"/>
      <c r="C527" s="2"/>
      <c r="D527" s="2"/>
      <c r="E527" s="25"/>
      <c r="F527" s="26"/>
      <c r="G527" s="2"/>
      <c r="H527" s="2"/>
      <c r="I527" s="124"/>
      <c r="J527" s="122"/>
      <c r="K527" s="122"/>
      <c r="L527" s="122"/>
      <c r="M527" s="2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2.75" customHeight="1" x14ac:dyDescent="0.25">
      <c r="A528" s="2"/>
      <c r="B528" s="2"/>
      <c r="C528" s="2"/>
      <c r="D528" s="2"/>
      <c r="E528" s="25"/>
      <c r="F528" s="26"/>
      <c r="G528" s="2"/>
      <c r="H528" s="2"/>
      <c r="I528" s="124"/>
      <c r="J528" s="122"/>
      <c r="K528" s="122"/>
      <c r="L528" s="122"/>
      <c r="M528" s="2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2.75" customHeight="1" x14ac:dyDescent="0.25">
      <c r="A529" s="2"/>
      <c r="B529" s="2"/>
      <c r="C529" s="2"/>
      <c r="D529" s="2"/>
      <c r="E529" s="25"/>
      <c r="F529" s="26"/>
      <c r="G529" s="2"/>
      <c r="H529" s="2"/>
      <c r="I529" s="124"/>
      <c r="J529" s="122"/>
      <c r="K529" s="122"/>
      <c r="L529" s="122"/>
      <c r="M529" s="2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2.75" customHeight="1" x14ac:dyDescent="0.25">
      <c r="A530" s="2"/>
      <c r="B530" s="2"/>
      <c r="C530" s="2"/>
      <c r="D530" s="2"/>
      <c r="E530" s="25"/>
      <c r="F530" s="26"/>
      <c r="G530" s="2"/>
      <c r="H530" s="2"/>
      <c r="I530" s="124"/>
      <c r="J530" s="122"/>
      <c r="K530" s="122"/>
      <c r="L530" s="122"/>
      <c r="M530" s="2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2.75" customHeight="1" x14ac:dyDescent="0.25">
      <c r="A531" s="2"/>
      <c r="B531" s="2"/>
      <c r="C531" s="2"/>
      <c r="D531" s="2"/>
      <c r="E531" s="25"/>
      <c r="F531" s="26"/>
      <c r="G531" s="2"/>
      <c r="H531" s="2"/>
      <c r="I531" s="124"/>
      <c r="J531" s="122"/>
      <c r="K531" s="122"/>
      <c r="L531" s="122"/>
      <c r="M531" s="2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2.75" customHeight="1" x14ac:dyDescent="0.25">
      <c r="A532" s="2"/>
      <c r="B532" s="2"/>
      <c r="C532" s="2"/>
      <c r="D532" s="2"/>
      <c r="E532" s="25"/>
      <c r="F532" s="26"/>
      <c r="G532" s="2"/>
      <c r="H532" s="2"/>
      <c r="I532" s="124"/>
      <c r="J532" s="122"/>
      <c r="K532" s="122"/>
      <c r="L532" s="122"/>
      <c r="M532" s="2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2.75" customHeight="1" x14ac:dyDescent="0.25">
      <c r="A533" s="2"/>
      <c r="B533" s="2"/>
      <c r="C533" s="2"/>
      <c r="D533" s="2"/>
      <c r="E533" s="25"/>
      <c r="F533" s="26"/>
      <c r="G533" s="2"/>
      <c r="H533" s="2"/>
      <c r="I533" s="124"/>
      <c r="J533" s="122"/>
      <c r="K533" s="122"/>
      <c r="L533" s="122"/>
      <c r="M533" s="2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2.75" customHeight="1" x14ac:dyDescent="0.25">
      <c r="A534" s="2"/>
      <c r="B534" s="2"/>
      <c r="C534" s="2"/>
      <c r="D534" s="2"/>
      <c r="E534" s="25"/>
      <c r="F534" s="26"/>
      <c r="G534" s="2"/>
      <c r="H534" s="2"/>
      <c r="I534" s="124"/>
      <c r="J534" s="122"/>
      <c r="K534" s="122"/>
      <c r="L534" s="122"/>
      <c r="M534" s="2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2.75" customHeight="1" x14ac:dyDescent="0.25">
      <c r="A535" s="2"/>
      <c r="B535" s="2"/>
      <c r="C535" s="2"/>
      <c r="D535" s="2"/>
      <c r="E535" s="25"/>
      <c r="F535" s="26"/>
      <c r="G535" s="2"/>
      <c r="H535" s="2"/>
      <c r="I535" s="124"/>
      <c r="J535" s="122"/>
      <c r="K535" s="122"/>
      <c r="L535" s="122"/>
      <c r="M535" s="2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2.75" customHeight="1" x14ac:dyDescent="0.25">
      <c r="A536" s="2"/>
      <c r="B536" s="2"/>
      <c r="C536" s="2"/>
      <c r="D536" s="2"/>
      <c r="E536" s="25"/>
      <c r="F536" s="26"/>
      <c r="G536" s="2"/>
      <c r="H536" s="2"/>
      <c r="I536" s="124"/>
      <c r="J536" s="122"/>
      <c r="K536" s="122"/>
      <c r="L536" s="122"/>
      <c r="M536" s="2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2.75" customHeight="1" x14ac:dyDescent="0.25">
      <c r="A537" s="2"/>
      <c r="B537" s="2"/>
      <c r="C537" s="2"/>
      <c r="D537" s="2"/>
      <c r="E537" s="25"/>
      <c r="F537" s="26"/>
      <c r="G537" s="2"/>
      <c r="H537" s="2"/>
      <c r="I537" s="124"/>
      <c r="J537" s="122"/>
      <c r="K537" s="122"/>
      <c r="L537" s="122"/>
      <c r="M537" s="2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2.75" customHeight="1" x14ac:dyDescent="0.25">
      <c r="A538" s="2"/>
      <c r="B538" s="2"/>
      <c r="C538" s="2"/>
      <c r="D538" s="2"/>
      <c r="E538" s="25"/>
      <c r="F538" s="26"/>
      <c r="G538" s="2"/>
      <c r="H538" s="2"/>
      <c r="I538" s="124"/>
      <c r="J538" s="122"/>
      <c r="K538" s="122"/>
      <c r="L538" s="122"/>
      <c r="M538" s="2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2.75" customHeight="1" x14ac:dyDescent="0.25">
      <c r="A539" s="2"/>
      <c r="B539" s="2"/>
      <c r="C539" s="2"/>
      <c r="D539" s="2"/>
      <c r="E539" s="25"/>
      <c r="F539" s="26"/>
      <c r="G539" s="2"/>
      <c r="H539" s="2"/>
      <c r="I539" s="124"/>
      <c r="J539" s="122"/>
      <c r="K539" s="122"/>
      <c r="L539" s="122"/>
      <c r="M539" s="2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2.75" customHeight="1" x14ac:dyDescent="0.25">
      <c r="A540" s="2"/>
      <c r="B540" s="2"/>
      <c r="C540" s="2"/>
      <c r="D540" s="2"/>
      <c r="E540" s="25"/>
      <c r="F540" s="26"/>
      <c r="G540" s="2"/>
      <c r="H540" s="2"/>
      <c r="I540" s="124"/>
      <c r="J540" s="122"/>
      <c r="K540" s="122"/>
      <c r="L540" s="122"/>
      <c r="M540" s="2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2.75" customHeight="1" x14ac:dyDescent="0.25">
      <c r="A541" s="2"/>
      <c r="B541" s="2"/>
      <c r="C541" s="2"/>
      <c r="D541" s="2"/>
      <c r="E541" s="25"/>
      <c r="F541" s="26"/>
      <c r="G541" s="2"/>
      <c r="H541" s="2"/>
      <c r="I541" s="124"/>
      <c r="J541" s="122"/>
      <c r="K541" s="122"/>
      <c r="L541" s="122"/>
      <c r="M541" s="2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2.75" customHeight="1" x14ac:dyDescent="0.25">
      <c r="A542" s="2"/>
      <c r="B542" s="2"/>
      <c r="C542" s="2"/>
      <c r="D542" s="2"/>
      <c r="E542" s="25"/>
      <c r="F542" s="26"/>
      <c r="G542" s="2"/>
      <c r="H542" s="2"/>
      <c r="I542" s="124"/>
      <c r="J542" s="122"/>
      <c r="K542" s="122"/>
      <c r="L542" s="122"/>
      <c r="M542" s="2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2.75" customHeight="1" x14ac:dyDescent="0.25">
      <c r="A543" s="2"/>
      <c r="B543" s="2"/>
      <c r="C543" s="2"/>
      <c r="D543" s="2"/>
      <c r="E543" s="25"/>
      <c r="F543" s="26"/>
      <c r="G543" s="2"/>
      <c r="H543" s="2"/>
      <c r="I543" s="124"/>
      <c r="J543" s="122"/>
      <c r="K543" s="122"/>
      <c r="L543" s="122"/>
      <c r="M543" s="2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2.75" customHeight="1" x14ac:dyDescent="0.25">
      <c r="A544" s="2"/>
      <c r="B544" s="2"/>
      <c r="C544" s="2"/>
      <c r="D544" s="2"/>
      <c r="E544" s="25"/>
      <c r="F544" s="26"/>
      <c r="G544" s="2"/>
      <c r="H544" s="2"/>
      <c r="I544" s="124"/>
      <c r="J544" s="122"/>
      <c r="K544" s="122"/>
      <c r="L544" s="122"/>
      <c r="M544" s="2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2.75" customHeight="1" x14ac:dyDescent="0.25">
      <c r="A545" s="2"/>
      <c r="B545" s="2"/>
      <c r="C545" s="2"/>
      <c r="D545" s="2"/>
      <c r="E545" s="25"/>
      <c r="F545" s="26"/>
      <c r="G545" s="2"/>
      <c r="H545" s="2"/>
      <c r="I545" s="124"/>
      <c r="J545" s="122"/>
      <c r="K545" s="122"/>
      <c r="L545" s="122"/>
      <c r="M545" s="2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2.75" customHeight="1" x14ac:dyDescent="0.25">
      <c r="A546" s="2"/>
      <c r="B546" s="2"/>
      <c r="C546" s="2"/>
      <c r="D546" s="2"/>
      <c r="E546" s="25"/>
      <c r="F546" s="26"/>
      <c r="G546" s="2"/>
      <c r="H546" s="2"/>
      <c r="I546" s="124"/>
      <c r="J546" s="122"/>
      <c r="K546" s="122"/>
      <c r="L546" s="122"/>
      <c r="M546" s="2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2.75" customHeight="1" x14ac:dyDescent="0.25">
      <c r="A547" s="2"/>
      <c r="B547" s="2"/>
      <c r="C547" s="2"/>
      <c r="D547" s="2"/>
      <c r="E547" s="25"/>
      <c r="F547" s="26"/>
      <c r="G547" s="2"/>
      <c r="H547" s="2"/>
      <c r="I547" s="124"/>
      <c r="J547" s="122"/>
      <c r="K547" s="122"/>
      <c r="L547" s="122"/>
      <c r="M547" s="2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2.75" customHeight="1" x14ac:dyDescent="0.25">
      <c r="A548" s="2"/>
      <c r="B548" s="2"/>
      <c r="C548" s="2"/>
      <c r="D548" s="2"/>
      <c r="E548" s="25"/>
      <c r="F548" s="26"/>
      <c r="G548" s="2"/>
      <c r="H548" s="2"/>
      <c r="I548" s="124"/>
      <c r="J548" s="122"/>
      <c r="K548" s="122"/>
      <c r="L548" s="122"/>
      <c r="M548" s="2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2.75" customHeight="1" x14ac:dyDescent="0.25">
      <c r="A549" s="2"/>
      <c r="B549" s="2"/>
      <c r="C549" s="2"/>
      <c r="D549" s="2"/>
      <c r="E549" s="25"/>
      <c r="F549" s="26"/>
      <c r="G549" s="2"/>
      <c r="H549" s="2"/>
      <c r="I549" s="124"/>
      <c r="J549" s="122"/>
      <c r="K549" s="122"/>
      <c r="L549" s="122"/>
      <c r="M549" s="2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2.75" customHeight="1" x14ac:dyDescent="0.25">
      <c r="A550" s="2"/>
      <c r="B550" s="2"/>
      <c r="C550" s="2"/>
      <c r="D550" s="2"/>
      <c r="E550" s="25"/>
      <c r="F550" s="26"/>
      <c r="G550" s="2"/>
      <c r="H550" s="2"/>
      <c r="I550" s="124"/>
      <c r="J550" s="122"/>
      <c r="K550" s="122"/>
      <c r="L550" s="122"/>
      <c r="M550" s="2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2.75" customHeight="1" x14ac:dyDescent="0.25">
      <c r="A551" s="2"/>
      <c r="B551" s="2"/>
      <c r="C551" s="2"/>
      <c r="D551" s="2"/>
      <c r="E551" s="25"/>
      <c r="F551" s="26"/>
      <c r="G551" s="2"/>
      <c r="H551" s="2"/>
      <c r="I551" s="124"/>
      <c r="J551" s="122"/>
      <c r="K551" s="122"/>
      <c r="L551" s="122"/>
      <c r="M551" s="2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2.75" customHeight="1" x14ac:dyDescent="0.25">
      <c r="A552" s="2"/>
      <c r="B552" s="2"/>
      <c r="C552" s="2"/>
      <c r="D552" s="2"/>
      <c r="E552" s="25"/>
      <c r="F552" s="26"/>
      <c r="G552" s="2"/>
      <c r="H552" s="2"/>
      <c r="I552" s="124"/>
      <c r="J552" s="122"/>
      <c r="K552" s="122"/>
      <c r="L552" s="122"/>
      <c r="M552" s="2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2.75" customHeight="1" x14ac:dyDescent="0.25">
      <c r="A553" s="2"/>
      <c r="B553" s="2"/>
      <c r="C553" s="2"/>
      <c r="D553" s="2"/>
      <c r="E553" s="25"/>
      <c r="F553" s="26"/>
      <c r="G553" s="2"/>
      <c r="H553" s="2"/>
      <c r="I553" s="124"/>
      <c r="J553" s="122"/>
      <c r="K553" s="122"/>
      <c r="L553" s="122"/>
      <c r="M553" s="2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2.75" customHeight="1" x14ac:dyDescent="0.25">
      <c r="A554" s="2"/>
      <c r="B554" s="2"/>
      <c r="C554" s="2"/>
      <c r="D554" s="2"/>
      <c r="E554" s="25"/>
      <c r="F554" s="26"/>
      <c r="G554" s="2"/>
      <c r="H554" s="2"/>
      <c r="I554" s="124"/>
      <c r="J554" s="122"/>
      <c r="K554" s="122"/>
      <c r="L554" s="122"/>
      <c r="M554" s="2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2.75" customHeight="1" x14ac:dyDescent="0.25">
      <c r="A555" s="2"/>
      <c r="B555" s="2"/>
      <c r="C555" s="2"/>
      <c r="D555" s="2"/>
      <c r="E555" s="25"/>
      <c r="F555" s="26"/>
      <c r="G555" s="2"/>
      <c r="H555" s="2"/>
      <c r="I555" s="124"/>
      <c r="J555" s="122"/>
      <c r="K555" s="122"/>
      <c r="L555" s="122"/>
      <c r="M555" s="2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2.75" customHeight="1" x14ac:dyDescent="0.25">
      <c r="A556" s="2"/>
      <c r="B556" s="2"/>
      <c r="C556" s="2"/>
      <c r="D556" s="2"/>
      <c r="E556" s="25"/>
      <c r="F556" s="26"/>
      <c r="G556" s="2"/>
      <c r="H556" s="2"/>
      <c r="I556" s="124"/>
      <c r="J556" s="122"/>
      <c r="K556" s="122"/>
      <c r="L556" s="122"/>
      <c r="M556" s="2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2.75" customHeight="1" x14ac:dyDescent="0.25">
      <c r="A557" s="2"/>
      <c r="B557" s="2"/>
      <c r="C557" s="2"/>
      <c r="D557" s="2"/>
      <c r="E557" s="25"/>
      <c r="F557" s="26"/>
      <c r="G557" s="2"/>
      <c r="H557" s="2"/>
      <c r="I557" s="124"/>
      <c r="J557" s="122"/>
      <c r="K557" s="122"/>
      <c r="L557" s="122"/>
      <c r="M557" s="2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2.75" customHeight="1" x14ac:dyDescent="0.25">
      <c r="A558" s="2"/>
      <c r="B558" s="2"/>
      <c r="C558" s="2"/>
      <c r="D558" s="2"/>
      <c r="E558" s="25"/>
      <c r="F558" s="26"/>
      <c r="G558" s="2"/>
      <c r="H558" s="2"/>
      <c r="I558" s="124"/>
      <c r="J558" s="122"/>
      <c r="K558" s="122"/>
      <c r="L558" s="122"/>
      <c r="M558" s="2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2.75" customHeight="1" x14ac:dyDescent="0.25">
      <c r="A559" s="2"/>
      <c r="B559" s="2"/>
      <c r="C559" s="2"/>
      <c r="D559" s="2"/>
      <c r="E559" s="25"/>
      <c r="F559" s="26"/>
      <c r="G559" s="2"/>
      <c r="H559" s="2"/>
      <c r="I559" s="124"/>
      <c r="J559" s="122"/>
      <c r="K559" s="122"/>
      <c r="L559" s="122"/>
      <c r="M559" s="2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2.75" customHeight="1" x14ac:dyDescent="0.25">
      <c r="A560" s="2"/>
      <c r="B560" s="2"/>
      <c r="C560" s="2"/>
      <c r="D560" s="2"/>
      <c r="E560" s="25"/>
      <c r="F560" s="26"/>
      <c r="G560" s="2"/>
      <c r="H560" s="2"/>
      <c r="I560" s="124"/>
      <c r="J560" s="122"/>
      <c r="K560" s="122"/>
      <c r="L560" s="122"/>
      <c r="M560" s="2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2.75" customHeight="1" x14ac:dyDescent="0.25">
      <c r="A561" s="2"/>
      <c r="B561" s="2"/>
      <c r="C561" s="2"/>
      <c r="D561" s="2"/>
      <c r="E561" s="25"/>
      <c r="F561" s="26"/>
      <c r="G561" s="2"/>
      <c r="H561" s="2"/>
      <c r="I561" s="124"/>
      <c r="J561" s="122"/>
      <c r="K561" s="122"/>
      <c r="L561" s="122"/>
      <c r="M561" s="2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2.75" customHeight="1" x14ac:dyDescent="0.25">
      <c r="A562" s="2"/>
      <c r="B562" s="2"/>
      <c r="C562" s="2"/>
      <c r="D562" s="2"/>
      <c r="E562" s="25"/>
      <c r="F562" s="26"/>
      <c r="G562" s="2"/>
      <c r="H562" s="2"/>
      <c r="I562" s="124"/>
      <c r="J562" s="122"/>
      <c r="K562" s="122"/>
      <c r="L562" s="122"/>
      <c r="M562" s="2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2.75" customHeight="1" x14ac:dyDescent="0.25">
      <c r="A563" s="2"/>
      <c r="B563" s="2"/>
      <c r="C563" s="2"/>
      <c r="D563" s="2"/>
      <c r="E563" s="25"/>
      <c r="F563" s="26"/>
      <c r="G563" s="2"/>
      <c r="H563" s="2"/>
      <c r="I563" s="124"/>
      <c r="J563" s="122"/>
      <c r="K563" s="122"/>
      <c r="L563" s="122"/>
      <c r="M563" s="2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2.75" customHeight="1" x14ac:dyDescent="0.25">
      <c r="A564" s="2"/>
      <c r="B564" s="2"/>
      <c r="C564" s="2"/>
      <c r="D564" s="2"/>
      <c r="E564" s="25"/>
      <c r="F564" s="26"/>
      <c r="G564" s="2"/>
      <c r="H564" s="2"/>
      <c r="I564" s="124"/>
      <c r="J564" s="122"/>
      <c r="K564" s="122"/>
      <c r="L564" s="122"/>
      <c r="M564" s="2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2.75" customHeight="1" x14ac:dyDescent="0.25">
      <c r="A565" s="2"/>
      <c r="B565" s="2"/>
      <c r="C565" s="2"/>
      <c r="D565" s="2"/>
      <c r="E565" s="25"/>
      <c r="F565" s="26"/>
      <c r="G565" s="2"/>
      <c r="H565" s="2"/>
      <c r="I565" s="124"/>
      <c r="J565" s="122"/>
      <c r="K565" s="122"/>
      <c r="L565" s="122"/>
      <c r="M565" s="2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2.75" customHeight="1" x14ac:dyDescent="0.25">
      <c r="A566" s="2"/>
      <c r="B566" s="2"/>
      <c r="C566" s="2"/>
      <c r="D566" s="2"/>
      <c r="E566" s="25"/>
      <c r="F566" s="26"/>
      <c r="G566" s="2"/>
      <c r="H566" s="2"/>
      <c r="I566" s="124"/>
      <c r="J566" s="122"/>
      <c r="K566" s="122"/>
      <c r="L566" s="122"/>
      <c r="M566" s="2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2.75" customHeight="1" x14ac:dyDescent="0.25">
      <c r="A567" s="2"/>
      <c r="B567" s="2"/>
      <c r="C567" s="2"/>
      <c r="D567" s="2"/>
      <c r="E567" s="25"/>
      <c r="F567" s="26"/>
      <c r="G567" s="2"/>
      <c r="H567" s="2"/>
      <c r="I567" s="124"/>
      <c r="J567" s="122"/>
      <c r="K567" s="122"/>
      <c r="L567" s="122"/>
      <c r="M567" s="2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2.75" customHeight="1" x14ac:dyDescent="0.25">
      <c r="A568" s="2"/>
      <c r="B568" s="2"/>
      <c r="C568" s="2"/>
      <c r="D568" s="2"/>
      <c r="E568" s="25"/>
      <c r="F568" s="26"/>
      <c r="G568" s="2"/>
      <c r="H568" s="2"/>
      <c r="I568" s="124"/>
      <c r="J568" s="122"/>
      <c r="K568" s="122"/>
      <c r="L568" s="122"/>
      <c r="M568" s="2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2.75" customHeight="1" x14ac:dyDescent="0.25">
      <c r="A569" s="2"/>
      <c r="B569" s="2"/>
      <c r="C569" s="2"/>
      <c r="D569" s="2"/>
      <c r="E569" s="25"/>
      <c r="F569" s="26"/>
      <c r="G569" s="2"/>
      <c r="H569" s="2"/>
      <c r="I569" s="124"/>
      <c r="J569" s="122"/>
      <c r="K569" s="122"/>
      <c r="L569" s="122"/>
      <c r="M569" s="2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2.75" customHeight="1" x14ac:dyDescent="0.25">
      <c r="A570" s="2"/>
      <c r="B570" s="2"/>
      <c r="C570" s="2"/>
      <c r="D570" s="2"/>
      <c r="E570" s="25"/>
      <c r="F570" s="26"/>
      <c r="G570" s="2"/>
      <c r="H570" s="2"/>
      <c r="I570" s="124"/>
      <c r="J570" s="122"/>
      <c r="K570" s="122"/>
      <c r="L570" s="122"/>
      <c r="M570" s="2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2.75" customHeight="1" x14ac:dyDescent="0.25">
      <c r="A571" s="2"/>
      <c r="B571" s="2"/>
      <c r="C571" s="2"/>
      <c r="D571" s="2"/>
      <c r="E571" s="25"/>
      <c r="F571" s="26"/>
      <c r="G571" s="2"/>
      <c r="H571" s="2"/>
      <c r="I571" s="124"/>
      <c r="J571" s="122"/>
      <c r="K571" s="122"/>
      <c r="L571" s="122"/>
      <c r="M571" s="2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2.75" customHeight="1" x14ac:dyDescent="0.25">
      <c r="A572" s="2"/>
      <c r="B572" s="2"/>
      <c r="C572" s="2"/>
      <c r="D572" s="2"/>
      <c r="E572" s="25"/>
      <c r="F572" s="26"/>
      <c r="G572" s="2"/>
      <c r="H572" s="2"/>
      <c r="I572" s="124"/>
      <c r="J572" s="122"/>
      <c r="K572" s="122"/>
      <c r="L572" s="122"/>
      <c r="M572" s="2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2.75" customHeight="1" x14ac:dyDescent="0.25">
      <c r="A573" s="2"/>
      <c r="B573" s="2"/>
      <c r="C573" s="2"/>
      <c r="D573" s="2"/>
      <c r="E573" s="25"/>
      <c r="F573" s="26"/>
      <c r="G573" s="2"/>
      <c r="H573" s="2"/>
      <c r="I573" s="124"/>
      <c r="J573" s="122"/>
      <c r="K573" s="122"/>
      <c r="L573" s="122"/>
      <c r="M573" s="2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2.75" customHeight="1" x14ac:dyDescent="0.25">
      <c r="A574" s="2"/>
      <c r="B574" s="2"/>
      <c r="C574" s="2"/>
      <c r="D574" s="2"/>
      <c r="E574" s="25"/>
      <c r="F574" s="26"/>
      <c r="G574" s="2"/>
      <c r="H574" s="2"/>
      <c r="I574" s="124"/>
      <c r="J574" s="122"/>
      <c r="K574" s="122"/>
      <c r="L574" s="122"/>
      <c r="M574" s="2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2.75" customHeight="1" x14ac:dyDescent="0.25">
      <c r="A575" s="2"/>
      <c r="B575" s="2"/>
      <c r="C575" s="2"/>
      <c r="D575" s="2"/>
      <c r="E575" s="25"/>
      <c r="F575" s="26"/>
      <c r="G575" s="2"/>
      <c r="H575" s="2"/>
      <c r="I575" s="124"/>
      <c r="J575" s="122"/>
      <c r="K575" s="122"/>
      <c r="L575" s="122"/>
      <c r="M575" s="2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2.75" customHeight="1" x14ac:dyDescent="0.25">
      <c r="A576" s="2"/>
      <c r="B576" s="2"/>
      <c r="C576" s="2"/>
      <c r="D576" s="2"/>
      <c r="E576" s="25"/>
      <c r="F576" s="26"/>
      <c r="G576" s="2"/>
      <c r="H576" s="2"/>
      <c r="I576" s="124"/>
      <c r="J576" s="122"/>
      <c r="K576" s="122"/>
      <c r="L576" s="122"/>
      <c r="M576" s="2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2.75" customHeight="1" x14ac:dyDescent="0.25">
      <c r="A577" s="2"/>
      <c r="B577" s="2"/>
      <c r="C577" s="2"/>
      <c r="D577" s="2"/>
      <c r="E577" s="25"/>
      <c r="F577" s="26"/>
      <c r="G577" s="2"/>
      <c r="H577" s="2"/>
      <c r="I577" s="124"/>
      <c r="J577" s="122"/>
      <c r="K577" s="122"/>
      <c r="L577" s="122"/>
      <c r="M577" s="2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2.75" customHeight="1" x14ac:dyDescent="0.25">
      <c r="A578" s="2"/>
      <c r="B578" s="2"/>
      <c r="C578" s="2"/>
      <c r="D578" s="2"/>
      <c r="E578" s="25"/>
      <c r="F578" s="26"/>
      <c r="G578" s="2"/>
      <c r="H578" s="2"/>
      <c r="I578" s="124"/>
      <c r="J578" s="122"/>
      <c r="K578" s="122"/>
      <c r="L578" s="122"/>
      <c r="M578" s="2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2.75" customHeight="1" x14ac:dyDescent="0.25">
      <c r="A579" s="2"/>
      <c r="B579" s="2"/>
      <c r="C579" s="2"/>
      <c r="D579" s="2"/>
      <c r="E579" s="25"/>
      <c r="F579" s="26"/>
      <c r="G579" s="2"/>
      <c r="H579" s="2"/>
      <c r="I579" s="124"/>
      <c r="J579" s="122"/>
      <c r="K579" s="122"/>
      <c r="L579" s="122"/>
      <c r="M579" s="2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2.75" customHeight="1" x14ac:dyDescent="0.25">
      <c r="A580" s="2"/>
      <c r="B580" s="2"/>
      <c r="C580" s="2"/>
      <c r="D580" s="2"/>
      <c r="E580" s="25"/>
      <c r="F580" s="26"/>
      <c r="G580" s="2"/>
      <c r="H580" s="2"/>
      <c r="I580" s="124"/>
      <c r="J580" s="122"/>
      <c r="K580" s="122"/>
      <c r="L580" s="122"/>
      <c r="M580" s="2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2.75" customHeight="1" x14ac:dyDescent="0.25">
      <c r="A581" s="2"/>
      <c r="B581" s="2"/>
      <c r="C581" s="2"/>
      <c r="D581" s="2"/>
      <c r="E581" s="25"/>
      <c r="F581" s="26"/>
      <c r="G581" s="2"/>
      <c r="H581" s="2"/>
      <c r="I581" s="124"/>
      <c r="J581" s="122"/>
      <c r="K581" s="122"/>
      <c r="L581" s="122"/>
      <c r="M581" s="2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2.75" customHeight="1" x14ac:dyDescent="0.25">
      <c r="A582" s="2"/>
      <c r="B582" s="2"/>
      <c r="C582" s="2"/>
      <c r="D582" s="2"/>
      <c r="E582" s="25"/>
      <c r="F582" s="26"/>
      <c r="G582" s="2"/>
      <c r="H582" s="2"/>
      <c r="I582" s="124"/>
      <c r="J582" s="122"/>
      <c r="K582" s="122"/>
      <c r="L582" s="122"/>
      <c r="M582" s="2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2.75" customHeight="1" x14ac:dyDescent="0.25">
      <c r="A583" s="2"/>
      <c r="B583" s="2"/>
      <c r="C583" s="2"/>
      <c r="D583" s="2"/>
      <c r="E583" s="25"/>
      <c r="F583" s="26"/>
      <c r="G583" s="2"/>
      <c r="H583" s="2"/>
      <c r="I583" s="124"/>
      <c r="J583" s="122"/>
      <c r="K583" s="122"/>
      <c r="L583" s="122"/>
      <c r="M583" s="2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2.75" customHeight="1" x14ac:dyDescent="0.25">
      <c r="A584" s="2"/>
      <c r="B584" s="2"/>
      <c r="C584" s="2"/>
      <c r="D584" s="2"/>
      <c r="E584" s="25"/>
      <c r="F584" s="26"/>
      <c r="G584" s="2"/>
      <c r="H584" s="2"/>
      <c r="I584" s="124"/>
      <c r="J584" s="122"/>
      <c r="K584" s="122"/>
      <c r="L584" s="122"/>
      <c r="M584" s="2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2.75" customHeight="1" x14ac:dyDescent="0.25">
      <c r="A585" s="2"/>
      <c r="B585" s="2"/>
      <c r="C585" s="2"/>
      <c r="D585" s="2"/>
      <c r="E585" s="25"/>
      <c r="F585" s="26"/>
      <c r="G585" s="2"/>
      <c r="H585" s="2"/>
      <c r="I585" s="124"/>
      <c r="J585" s="122"/>
      <c r="K585" s="122"/>
      <c r="L585" s="122"/>
      <c r="M585" s="2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2.75" customHeight="1" x14ac:dyDescent="0.25">
      <c r="A586" s="2"/>
      <c r="B586" s="2"/>
      <c r="C586" s="2"/>
      <c r="D586" s="2"/>
      <c r="E586" s="25"/>
      <c r="F586" s="26"/>
      <c r="G586" s="2"/>
      <c r="H586" s="2"/>
      <c r="I586" s="124"/>
      <c r="J586" s="122"/>
      <c r="K586" s="122"/>
      <c r="L586" s="122"/>
      <c r="M586" s="2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2.75" customHeight="1" x14ac:dyDescent="0.25">
      <c r="A587" s="2"/>
      <c r="B587" s="2"/>
      <c r="C587" s="2"/>
      <c r="D587" s="2"/>
      <c r="E587" s="25"/>
      <c r="F587" s="26"/>
      <c r="G587" s="2"/>
      <c r="H587" s="2"/>
      <c r="I587" s="124"/>
      <c r="J587" s="122"/>
      <c r="K587" s="122"/>
      <c r="L587" s="122"/>
      <c r="M587" s="2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2.75" customHeight="1" x14ac:dyDescent="0.25">
      <c r="A588" s="2"/>
      <c r="B588" s="2"/>
      <c r="C588" s="2"/>
      <c r="D588" s="2"/>
      <c r="E588" s="25"/>
      <c r="F588" s="26"/>
      <c r="G588" s="2"/>
      <c r="H588" s="2"/>
      <c r="I588" s="124"/>
      <c r="J588" s="122"/>
      <c r="K588" s="122"/>
      <c r="L588" s="122"/>
      <c r="M588" s="2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2.75" customHeight="1" x14ac:dyDescent="0.25">
      <c r="A589" s="2"/>
      <c r="B589" s="2"/>
      <c r="C589" s="2"/>
      <c r="D589" s="2"/>
      <c r="E589" s="25"/>
      <c r="F589" s="26"/>
      <c r="G589" s="2"/>
      <c r="H589" s="2"/>
      <c r="I589" s="124"/>
      <c r="J589" s="122"/>
      <c r="K589" s="122"/>
      <c r="L589" s="122"/>
      <c r="M589" s="2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2.75" customHeight="1" x14ac:dyDescent="0.25">
      <c r="A590" s="2"/>
      <c r="B590" s="2"/>
      <c r="C590" s="2"/>
      <c r="D590" s="2"/>
      <c r="E590" s="25"/>
      <c r="F590" s="26"/>
      <c r="G590" s="2"/>
      <c r="H590" s="2"/>
      <c r="I590" s="124"/>
      <c r="J590" s="122"/>
      <c r="K590" s="122"/>
      <c r="L590" s="122"/>
      <c r="M590" s="2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2.75" customHeight="1" x14ac:dyDescent="0.25">
      <c r="A591" s="2"/>
      <c r="B591" s="2"/>
      <c r="C591" s="2"/>
      <c r="D591" s="2"/>
      <c r="E591" s="25"/>
      <c r="F591" s="26"/>
      <c r="G591" s="2"/>
      <c r="H591" s="2"/>
      <c r="I591" s="124"/>
      <c r="J591" s="122"/>
      <c r="K591" s="122"/>
      <c r="L591" s="122"/>
      <c r="M591" s="2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2.75" customHeight="1" x14ac:dyDescent="0.25">
      <c r="A592" s="2"/>
      <c r="B592" s="2"/>
      <c r="C592" s="2"/>
      <c r="D592" s="2"/>
      <c r="E592" s="25"/>
      <c r="F592" s="26"/>
      <c r="G592" s="2"/>
      <c r="H592" s="2"/>
      <c r="I592" s="124"/>
      <c r="J592" s="122"/>
      <c r="K592" s="122"/>
      <c r="L592" s="122"/>
      <c r="M592" s="2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2.75" customHeight="1" x14ac:dyDescent="0.25">
      <c r="A593" s="2"/>
      <c r="B593" s="2"/>
      <c r="C593" s="2"/>
      <c r="D593" s="2"/>
      <c r="E593" s="25"/>
      <c r="F593" s="26"/>
      <c r="G593" s="2"/>
      <c r="H593" s="2"/>
      <c r="I593" s="124"/>
      <c r="J593" s="122"/>
      <c r="K593" s="122"/>
      <c r="L593" s="122"/>
      <c r="M593" s="2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2.75" customHeight="1" x14ac:dyDescent="0.25">
      <c r="A594" s="2"/>
      <c r="B594" s="2"/>
      <c r="C594" s="2"/>
      <c r="D594" s="2"/>
      <c r="E594" s="25"/>
      <c r="F594" s="26"/>
      <c r="G594" s="2"/>
      <c r="H594" s="2"/>
      <c r="I594" s="124"/>
      <c r="J594" s="122"/>
      <c r="K594" s="122"/>
      <c r="L594" s="122"/>
      <c r="M594" s="2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2.75" customHeight="1" x14ac:dyDescent="0.25">
      <c r="A595" s="2"/>
      <c r="B595" s="2"/>
      <c r="C595" s="2"/>
      <c r="D595" s="2"/>
      <c r="E595" s="25"/>
      <c r="F595" s="26"/>
      <c r="G595" s="2"/>
      <c r="H595" s="2"/>
      <c r="I595" s="124"/>
      <c r="J595" s="122"/>
      <c r="K595" s="122"/>
      <c r="L595" s="122"/>
      <c r="M595" s="2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2.75" customHeight="1" x14ac:dyDescent="0.25">
      <c r="A596" s="2"/>
      <c r="B596" s="2"/>
      <c r="C596" s="2"/>
      <c r="D596" s="2"/>
      <c r="E596" s="25"/>
      <c r="F596" s="26"/>
      <c r="G596" s="2"/>
      <c r="H596" s="2"/>
      <c r="I596" s="124"/>
      <c r="J596" s="122"/>
      <c r="K596" s="122"/>
      <c r="L596" s="122"/>
      <c r="M596" s="2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2.75" customHeight="1" x14ac:dyDescent="0.25">
      <c r="A597" s="2"/>
      <c r="B597" s="2"/>
      <c r="C597" s="2"/>
      <c r="D597" s="2"/>
      <c r="E597" s="25"/>
      <c r="F597" s="26"/>
      <c r="G597" s="2"/>
      <c r="H597" s="2"/>
      <c r="I597" s="124"/>
      <c r="J597" s="122"/>
      <c r="K597" s="122"/>
      <c r="L597" s="122"/>
      <c r="M597" s="2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2.75" customHeight="1" x14ac:dyDescent="0.25">
      <c r="A598" s="2"/>
      <c r="B598" s="2"/>
      <c r="C598" s="2"/>
      <c r="D598" s="2"/>
      <c r="E598" s="25"/>
      <c r="F598" s="26"/>
      <c r="G598" s="2"/>
      <c r="H598" s="2"/>
      <c r="I598" s="124"/>
      <c r="J598" s="122"/>
      <c r="K598" s="122"/>
      <c r="L598" s="122"/>
      <c r="M598" s="2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2.75" customHeight="1" x14ac:dyDescent="0.25">
      <c r="A599" s="2"/>
      <c r="B599" s="2"/>
      <c r="C599" s="2"/>
      <c r="D599" s="2"/>
      <c r="E599" s="25"/>
      <c r="F599" s="26"/>
      <c r="G599" s="2"/>
      <c r="H599" s="2"/>
      <c r="I599" s="124"/>
      <c r="J599" s="122"/>
      <c r="K599" s="122"/>
      <c r="L599" s="122"/>
      <c r="M599" s="2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2.75" customHeight="1" x14ac:dyDescent="0.25">
      <c r="A600" s="2"/>
      <c r="B600" s="2"/>
      <c r="C600" s="2"/>
      <c r="D600" s="2"/>
      <c r="E600" s="25"/>
      <c r="F600" s="26"/>
      <c r="G600" s="2"/>
      <c r="H600" s="2"/>
      <c r="I600" s="124"/>
      <c r="J600" s="122"/>
      <c r="K600" s="122"/>
      <c r="L600" s="122"/>
      <c r="M600" s="2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2.75" customHeight="1" x14ac:dyDescent="0.25">
      <c r="A601" s="2"/>
      <c r="B601" s="2"/>
      <c r="C601" s="2"/>
      <c r="D601" s="2"/>
      <c r="E601" s="25"/>
      <c r="F601" s="26"/>
      <c r="G601" s="2"/>
      <c r="H601" s="2"/>
      <c r="I601" s="124"/>
      <c r="J601" s="122"/>
      <c r="K601" s="122"/>
      <c r="L601" s="122"/>
      <c r="M601" s="2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2.75" customHeight="1" x14ac:dyDescent="0.25">
      <c r="A602" s="2"/>
      <c r="B602" s="2"/>
      <c r="C602" s="2"/>
      <c r="D602" s="2"/>
      <c r="E602" s="25"/>
      <c r="F602" s="26"/>
      <c r="G602" s="2"/>
      <c r="H602" s="2"/>
      <c r="I602" s="124"/>
      <c r="J602" s="122"/>
      <c r="K602" s="122"/>
      <c r="L602" s="122"/>
      <c r="M602" s="2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2.75" customHeight="1" x14ac:dyDescent="0.25">
      <c r="A603" s="2"/>
      <c r="B603" s="2"/>
      <c r="C603" s="2"/>
      <c r="D603" s="2"/>
      <c r="E603" s="25"/>
      <c r="F603" s="26"/>
      <c r="G603" s="2"/>
      <c r="H603" s="2"/>
      <c r="I603" s="124"/>
      <c r="J603" s="122"/>
      <c r="K603" s="122"/>
      <c r="L603" s="122"/>
      <c r="M603" s="2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2.75" customHeight="1" x14ac:dyDescent="0.25">
      <c r="A604" s="2"/>
      <c r="B604" s="2"/>
      <c r="C604" s="2"/>
      <c r="D604" s="2"/>
      <c r="E604" s="25"/>
      <c r="F604" s="26"/>
      <c r="G604" s="2"/>
      <c r="H604" s="2"/>
      <c r="I604" s="124"/>
      <c r="J604" s="122"/>
      <c r="K604" s="122"/>
      <c r="L604" s="122"/>
      <c r="M604" s="2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2.75" customHeight="1" x14ac:dyDescent="0.25">
      <c r="A605" s="2"/>
      <c r="B605" s="2"/>
      <c r="C605" s="2"/>
      <c r="D605" s="2"/>
      <c r="E605" s="25"/>
      <c r="F605" s="26"/>
      <c r="G605" s="2"/>
      <c r="H605" s="2"/>
      <c r="I605" s="124"/>
      <c r="J605" s="122"/>
      <c r="K605" s="122"/>
      <c r="L605" s="122"/>
      <c r="M605" s="2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2.75" customHeight="1" x14ac:dyDescent="0.25">
      <c r="A606" s="2"/>
      <c r="B606" s="2"/>
      <c r="C606" s="2"/>
      <c r="D606" s="2"/>
      <c r="E606" s="25"/>
      <c r="F606" s="26"/>
      <c r="G606" s="2"/>
      <c r="H606" s="2"/>
      <c r="I606" s="124"/>
      <c r="J606" s="122"/>
      <c r="K606" s="122"/>
      <c r="L606" s="122"/>
      <c r="M606" s="2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2.75" customHeight="1" x14ac:dyDescent="0.25">
      <c r="A607" s="2"/>
      <c r="B607" s="2"/>
      <c r="C607" s="2"/>
      <c r="D607" s="2"/>
      <c r="E607" s="25"/>
      <c r="F607" s="26"/>
      <c r="G607" s="2"/>
      <c r="H607" s="2"/>
      <c r="I607" s="124"/>
      <c r="J607" s="122"/>
      <c r="K607" s="122"/>
      <c r="L607" s="122"/>
      <c r="M607" s="2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2.75" customHeight="1" x14ac:dyDescent="0.25">
      <c r="A608" s="2"/>
      <c r="B608" s="2"/>
      <c r="C608" s="2"/>
      <c r="D608" s="2"/>
      <c r="E608" s="25"/>
      <c r="F608" s="26"/>
      <c r="G608" s="2"/>
      <c r="H608" s="2"/>
      <c r="I608" s="124"/>
      <c r="J608" s="122"/>
      <c r="K608" s="122"/>
      <c r="L608" s="122"/>
      <c r="M608" s="2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2.75" customHeight="1" x14ac:dyDescent="0.25">
      <c r="A609" s="2"/>
      <c r="B609" s="2"/>
      <c r="C609" s="2"/>
      <c r="D609" s="2"/>
      <c r="E609" s="25"/>
      <c r="F609" s="26"/>
      <c r="G609" s="2"/>
      <c r="H609" s="2"/>
      <c r="I609" s="124"/>
      <c r="J609" s="122"/>
      <c r="K609" s="122"/>
      <c r="L609" s="122"/>
      <c r="M609" s="2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2.75" customHeight="1" x14ac:dyDescent="0.25">
      <c r="A610" s="2"/>
      <c r="B610" s="2"/>
      <c r="C610" s="2"/>
      <c r="D610" s="2"/>
      <c r="E610" s="25"/>
      <c r="F610" s="26"/>
      <c r="G610" s="2"/>
      <c r="H610" s="2"/>
      <c r="I610" s="124"/>
      <c r="J610" s="122"/>
      <c r="K610" s="122"/>
      <c r="L610" s="122"/>
      <c r="M610" s="2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2.75" customHeight="1" x14ac:dyDescent="0.25">
      <c r="A611" s="2"/>
      <c r="B611" s="2"/>
      <c r="C611" s="2"/>
      <c r="D611" s="2"/>
      <c r="E611" s="25"/>
      <c r="F611" s="26"/>
      <c r="G611" s="2"/>
      <c r="H611" s="2"/>
      <c r="I611" s="124"/>
      <c r="J611" s="122"/>
      <c r="K611" s="122"/>
      <c r="L611" s="122"/>
      <c r="M611" s="2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2.75" customHeight="1" x14ac:dyDescent="0.25">
      <c r="A612" s="2"/>
      <c r="B612" s="2"/>
      <c r="C612" s="2"/>
      <c r="D612" s="2"/>
      <c r="E612" s="25"/>
      <c r="F612" s="26"/>
      <c r="G612" s="2"/>
      <c r="H612" s="2"/>
      <c r="I612" s="124"/>
      <c r="J612" s="122"/>
      <c r="K612" s="122"/>
      <c r="L612" s="122"/>
      <c r="M612" s="2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2.75" customHeight="1" x14ac:dyDescent="0.25">
      <c r="A613" s="2"/>
      <c r="B613" s="2"/>
      <c r="C613" s="2"/>
      <c r="D613" s="2"/>
      <c r="E613" s="25"/>
      <c r="F613" s="26"/>
      <c r="G613" s="2"/>
      <c r="H613" s="2"/>
      <c r="I613" s="124"/>
      <c r="J613" s="122"/>
      <c r="K613" s="122"/>
      <c r="L613" s="122"/>
      <c r="M613" s="2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2.75" customHeight="1" x14ac:dyDescent="0.25">
      <c r="A614" s="2"/>
      <c r="B614" s="2"/>
      <c r="C614" s="2"/>
      <c r="D614" s="2"/>
      <c r="E614" s="25"/>
      <c r="F614" s="26"/>
      <c r="G614" s="2"/>
      <c r="H614" s="2"/>
      <c r="I614" s="124"/>
      <c r="J614" s="122"/>
      <c r="K614" s="122"/>
      <c r="L614" s="122"/>
      <c r="M614" s="2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2.75" customHeight="1" x14ac:dyDescent="0.25">
      <c r="A615" s="2"/>
      <c r="B615" s="2"/>
      <c r="C615" s="2"/>
      <c r="D615" s="2"/>
      <c r="E615" s="25"/>
      <c r="F615" s="26"/>
      <c r="G615" s="2"/>
      <c r="H615" s="2"/>
      <c r="I615" s="124"/>
      <c r="J615" s="122"/>
      <c r="K615" s="122"/>
      <c r="L615" s="122"/>
      <c r="M615" s="2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2.75" customHeight="1" x14ac:dyDescent="0.25">
      <c r="A616" s="2"/>
      <c r="B616" s="2"/>
      <c r="C616" s="2"/>
      <c r="D616" s="2"/>
      <c r="E616" s="25"/>
      <c r="F616" s="26"/>
      <c r="G616" s="2"/>
      <c r="H616" s="2"/>
      <c r="I616" s="124"/>
      <c r="J616" s="122"/>
      <c r="K616" s="122"/>
      <c r="L616" s="122"/>
      <c r="M616" s="2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2.75" customHeight="1" x14ac:dyDescent="0.25">
      <c r="A617" s="2"/>
      <c r="B617" s="2"/>
      <c r="C617" s="2"/>
      <c r="D617" s="2"/>
      <c r="E617" s="25"/>
      <c r="F617" s="26"/>
      <c r="G617" s="2"/>
      <c r="H617" s="2"/>
      <c r="I617" s="124"/>
      <c r="J617" s="122"/>
      <c r="K617" s="122"/>
      <c r="L617" s="122"/>
      <c r="M617" s="2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2.75" customHeight="1" x14ac:dyDescent="0.25">
      <c r="A618" s="2"/>
      <c r="B618" s="2"/>
      <c r="C618" s="2"/>
      <c r="D618" s="2"/>
      <c r="E618" s="25"/>
      <c r="F618" s="26"/>
      <c r="G618" s="2"/>
      <c r="H618" s="2"/>
      <c r="I618" s="124"/>
      <c r="J618" s="122"/>
      <c r="K618" s="122"/>
      <c r="L618" s="122"/>
      <c r="M618" s="2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2.75" customHeight="1" x14ac:dyDescent="0.25">
      <c r="A619" s="2"/>
      <c r="B619" s="2"/>
      <c r="C619" s="2"/>
      <c r="D619" s="2"/>
      <c r="E619" s="25"/>
      <c r="F619" s="26"/>
      <c r="G619" s="2"/>
      <c r="H619" s="2"/>
      <c r="I619" s="124"/>
      <c r="J619" s="122"/>
      <c r="K619" s="122"/>
      <c r="L619" s="122"/>
      <c r="M619" s="2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2.75" customHeight="1" x14ac:dyDescent="0.25">
      <c r="A620" s="2"/>
      <c r="B620" s="2"/>
      <c r="C620" s="2"/>
      <c r="D620" s="2"/>
      <c r="E620" s="25"/>
      <c r="F620" s="26"/>
      <c r="G620" s="2"/>
      <c r="H620" s="2"/>
      <c r="I620" s="124"/>
      <c r="J620" s="122"/>
      <c r="K620" s="122"/>
      <c r="L620" s="122"/>
      <c r="M620" s="2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2.75" customHeight="1" x14ac:dyDescent="0.25">
      <c r="A621" s="2"/>
      <c r="B621" s="2"/>
      <c r="C621" s="2"/>
      <c r="D621" s="2"/>
      <c r="E621" s="25"/>
      <c r="F621" s="26"/>
      <c r="G621" s="2"/>
      <c r="H621" s="2"/>
      <c r="I621" s="124"/>
      <c r="J621" s="122"/>
      <c r="K621" s="122"/>
      <c r="L621" s="122"/>
      <c r="M621" s="2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2.75" customHeight="1" x14ac:dyDescent="0.25">
      <c r="A622" s="2"/>
      <c r="B622" s="2"/>
      <c r="C622" s="2"/>
      <c r="D622" s="2"/>
      <c r="E622" s="25"/>
      <c r="F622" s="26"/>
      <c r="G622" s="2"/>
      <c r="H622" s="2"/>
      <c r="I622" s="124"/>
      <c r="J622" s="122"/>
      <c r="K622" s="122"/>
      <c r="L622" s="122"/>
      <c r="M622" s="2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2.75" customHeight="1" x14ac:dyDescent="0.25">
      <c r="A623" s="2"/>
      <c r="B623" s="2"/>
      <c r="C623" s="2"/>
      <c r="D623" s="2"/>
      <c r="E623" s="25"/>
      <c r="F623" s="26"/>
      <c r="G623" s="2"/>
      <c r="H623" s="2"/>
      <c r="I623" s="124"/>
      <c r="J623" s="122"/>
      <c r="K623" s="122"/>
      <c r="L623" s="122"/>
      <c r="M623" s="2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2.75" customHeight="1" x14ac:dyDescent="0.25">
      <c r="A624" s="2"/>
      <c r="B624" s="2"/>
      <c r="C624" s="2"/>
      <c r="D624" s="2"/>
      <c r="E624" s="25"/>
      <c r="F624" s="26"/>
      <c r="G624" s="2"/>
      <c r="H624" s="2"/>
      <c r="I624" s="124"/>
      <c r="J624" s="122"/>
      <c r="K624" s="122"/>
      <c r="L624" s="122"/>
      <c r="M624" s="2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2.75" customHeight="1" x14ac:dyDescent="0.25">
      <c r="A625" s="2"/>
      <c r="B625" s="2"/>
      <c r="C625" s="2"/>
      <c r="D625" s="2"/>
      <c r="E625" s="25"/>
      <c r="F625" s="26"/>
      <c r="G625" s="2"/>
      <c r="H625" s="2"/>
      <c r="I625" s="124"/>
      <c r="J625" s="122"/>
      <c r="K625" s="122"/>
      <c r="L625" s="122"/>
      <c r="M625" s="2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2.75" customHeight="1" x14ac:dyDescent="0.25">
      <c r="A626" s="2"/>
      <c r="B626" s="2"/>
      <c r="C626" s="2"/>
      <c r="D626" s="2"/>
      <c r="E626" s="25"/>
      <c r="F626" s="26"/>
      <c r="G626" s="2"/>
      <c r="H626" s="2"/>
      <c r="I626" s="124"/>
      <c r="J626" s="122"/>
      <c r="K626" s="122"/>
      <c r="L626" s="122"/>
      <c r="M626" s="2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2.75" customHeight="1" x14ac:dyDescent="0.25">
      <c r="A627" s="2"/>
      <c r="B627" s="2"/>
      <c r="C627" s="2"/>
      <c r="D627" s="2"/>
      <c r="E627" s="25"/>
      <c r="F627" s="26"/>
      <c r="G627" s="2"/>
      <c r="H627" s="2"/>
      <c r="I627" s="124"/>
      <c r="J627" s="122"/>
      <c r="K627" s="122"/>
      <c r="L627" s="122"/>
      <c r="M627" s="2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2.75" customHeight="1" x14ac:dyDescent="0.25">
      <c r="A628" s="2"/>
      <c r="B628" s="2"/>
      <c r="C628" s="2"/>
      <c r="D628" s="2"/>
      <c r="E628" s="25"/>
      <c r="F628" s="26"/>
      <c r="G628" s="2"/>
      <c r="H628" s="2"/>
      <c r="I628" s="124"/>
      <c r="J628" s="122"/>
      <c r="K628" s="122"/>
      <c r="L628" s="122"/>
      <c r="M628" s="2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2.75" customHeight="1" x14ac:dyDescent="0.25">
      <c r="A629" s="2"/>
      <c r="B629" s="2"/>
      <c r="C629" s="2"/>
      <c r="D629" s="2"/>
      <c r="E629" s="25"/>
      <c r="F629" s="26"/>
      <c r="G629" s="2"/>
      <c r="H629" s="2"/>
      <c r="I629" s="124"/>
      <c r="J629" s="122"/>
      <c r="K629" s="122"/>
      <c r="L629" s="122"/>
      <c r="M629" s="2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2.75" customHeight="1" x14ac:dyDescent="0.25">
      <c r="A630" s="2"/>
      <c r="B630" s="2"/>
      <c r="C630" s="2"/>
      <c r="D630" s="2"/>
      <c r="E630" s="25"/>
      <c r="F630" s="26"/>
      <c r="G630" s="2"/>
      <c r="H630" s="2"/>
      <c r="I630" s="124"/>
      <c r="J630" s="122"/>
      <c r="K630" s="122"/>
      <c r="L630" s="122"/>
      <c r="M630" s="2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2.75" customHeight="1" x14ac:dyDescent="0.25">
      <c r="A631" s="2"/>
      <c r="B631" s="2"/>
      <c r="C631" s="2"/>
      <c r="D631" s="2"/>
      <c r="E631" s="25"/>
      <c r="F631" s="26"/>
      <c r="G631" s="2"/>
      <c r="H631" s="2"/>
      <c r="I631" s="124"/>
      <c r="J631" s="122"/>
      <c r="K631" s="122"/>
      <c r="L631" s="122"/>
      <c r="M631" s="2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2.75" customHeight="1" x14ac:dyDescent="0.25">
      <c r="A632" s="2"/>
      <c r="B632" s="2"/>
      <c r="C632" s="2"/>
      <c r="D632" s="2"/>
      <c r="E632" s="25"/>
      <c r="F632" s="26"/>
      <c r="G632" s="2"/>
      <c r="H632" s="2"/>
      <c r="I632" s="124"/>
      <c r="J632" s="122"/>
      <c r="K632" s="122"/>
      <c r="L632" s="122"/>
      <c r="M632" s="2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2.75" customHeight="1" x14ac:dyDescent="0.25">
      <c r="A633" s="2"/>
      <c r="B633" s="2"/>
      <c r="C633" s="2"/>
      <c r="D633" s="2"/>
      <c r="E633" s="25"/>
      <c r="F633" s="26"/>
      <c r="G633" s="2"/>
      <c r="H633" s="2"/>
      <c r="I633" s="124"/>
      <c r="J633" s="122"/>
      <c r="K633" s="122"/>
      <c r="L633" s="122"/>
      <c r="M633" s="2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2.75" customHeight="1" x14ac:dyDescent="0.25">
      <c r="A634" s="2"/>
      <c r="B634" s="2"/>
      <c r="C634" s="2"/>
      <c r="D634" s="2"/>
      <c r="E634" s="25"/>
      <c r="F634" s="26"/>
      <c r="G634" s="2"/>
      <c r="H634" s="2"/>
      <c r="I634" s="124"/>
      <c r="J634" s="122"/>
      <c r="K634" s="122"/>
      <c r="L634" s="122"/>
      <c r="M634" s="2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2.75" customHeight="1" x14ac:dyDescent="0.25">
      <c r="A635" s="2"/>
      <c r="B635" s="2"/>
      <c r="C635" s="2"/>
      <c r="D635" s="2"/>
      <c r="E635" s="25"/>
      <c r="F635" s="26"/>
      <c r="G635" s="2"/>
      <c r="H635" s="2"/>
      <c r="I635" s="124"/>
      <c r="J635" s="122"/>
      <c r="K635" s="122"/>
      <c r="L635" s="122"/>
      <c r="M635" s="2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2.75" customHeight="1" x14ac:dyDescent="0.25">
      <c r="A636" s="2"/>
      <c r="B636" s="2"/>
      <c r="C636" s="2"/>
      <c r="D636" s="2"/>
      <c r="E636" s="25"/>
      <c r="F636" s="26"/>
      <c r="G636" s="2"/>
      <c r="H636" s="2"/>
      <c r="I636" s="124"/>
      <c r="J636" s="122"/>
      <c r="K636" s="122"/>
      <c r="L636" s="122"/>
      <c r="M636" s="2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2.75" customHeight="1" x14ac:dyDescent="0.25">
      <c r="A637" s="2"/>
      <c r="B637" s="2"/>
      <c r="C637" s="2"/>
      <c r="D637" s="2"/>
      <c r="E637" s="25"/>
      <c r="F637" s="26"/>
      <c r="G637" s="2"/>
      <c r="H637" s="2"/>
      <c r="I637" s="124"/>
      <c r="J637" s="122"/>
      <c r="K637" s="122"/>
      <c r="L637" s="122"/>
      <c r="M637" s="2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2.75" customHeight="1" x14ac:dyDescent="0.25">
      <c r="A638" s="2"/>
      <c r="B638" s="2"/>
      <c r="C638" s="2"/>
      <c r="D638" s="2"/>
      <c r="E638" s="25"/>
      <c r="F638" s="26"/>
      <c r="G638" s="2"/>
      <c r="H638" s="2"/>
      <c r="I638" s="124"/>
      <c r="J638" s="122"/>
      <c r="K638" s="122"/>
      <c r="L638" s="122"/>
      <c r="M638" s="2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2.75" customHeight="1" x14ac:dyDescent="0.25">
      <c r="A639" s="2"/>
      <c r="B639" s="2"/>
      <c r="C639" s="2"/>
      <c r="D639" s="2"/>
      <c r="E639" s="25"/>
      <c r="F639" s="26"/>
      <c r="G639" s="2"/>
      <c r="H639" s="2"/>
      <c r="I639" s="124"/>
      <c r="J639" s="122"/>
      <c r="K639" s="122"/>
      <c r="L639" s="122"/>
      <c r="M639" s="2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2.75" customHeight="1" x14ac:dyDescent="0.25">
      <c r="A640" s="2"/>
      <c r="B640" s="2"/>
      <c r="C640" s="2"/>
      <c r="D640" s="2"/>
      <c r="E640" s="25"/>
      <c r="F640" s="26"/>
      <c r="G640" s="2"/>
      <c r="H640" s="2"/>
      <c r="I640" s="124"/>
      <c r="J640" s="122"/>
      <c r="K640" s="122"/>
      <c r="L640" s="122"/>
      <c r="M640" s="2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2.75" customHeight="1" x14ac:dyDescent="0.25">
      <c r="A641" s="2"/>
      <c r="B641" s="2"/>
      <c r="C641" s="2"/>
      <c r="D641" s="2"/>
      <c r="E641" s="25"/>
      <c r="F641" s="26"/>
      <c r="G641" s="2"/>
      <c r="H641" s="2"/>
      <c r="I641" s="124"/>
      <c r="J641" s="122"/>
      <c r="K641" s="122"/>
      <c r="L641" s="122"/>
      <c r="M641" s="2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2.75" customHeight="1" x14ac:dyDescent="0.25">
      <c r="A642" s="2"/>
      <c r="B642" s="2"/>
      <c r="C642" s="2"/>
      <c r="D642" s="2"/>
      <c r="E642" s="25"/>
      <c r="F642" s="26"/>
      <c r="G642" s="2"/>
      <c r="H642" s="2"/>
      <c r="I642" s="124"/>
      <c r="J642" s="122"/>
      <c r="K642" s="122"/>
      <c r="L642" s="122"/>
      <c r="M642" s="2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2.75" customHeight="1" x14ac:dyDescent="0.25">
      <c r="A643" s="2"/>
      <c r="B643" s="2"/>
      <c r="C643" s="2"/>
      <c r="D643" s="2"/>
      <c r="E643" s="25"/>
      <c r="F643" s="26"/>
      <c r="G643" s="2"/>
      <c r="H643" s="2"/>
      <c r="I643" s="124"/>
      <c r="J643" s="122"/>
      <c r="K643" s="122"/>
      <c r="L643" s="122"/>
      <c r="M643" s="2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2.75" customHeight="1" x14ac:dyDescent="0.25">
      <c r="A644" s="2"/>
      <c r="B644" s="2"/>
      <c r="C644" s="2"/>
      <c r="D644" s="2"/>
      <c r="E644" s="25"/>
      <c r="F644" s="26"/>
      <c r="G644" s="2"/>
      <c r="H644" s="2"/>
      <c r="I644" s="124"/>
      <c r="J644" s="122"/>
      <c r="K644" s="122"/>
      <c r="L644" s="122"/>
      <c r="M644" s="2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2.75" customHeight="1" x14ac:dyDescent="0.25">
      <c r="A645" s="2"/>
      <c r="B645" s="2"/>
      <c r="C645" s="2"/>
      <c r="D645" s="2"/>
      <c r="E645" s="25"/>
      <c r="F645" s="26"/>
      <c r="G645" s="2"/>
      <c r="H645" s="2"/>
      <c r="I645" s="124"/>
      <c r="J645" s="122"/>
      <c r="K645" s="122"/>
      <c r="L645" s="122"/>
      <c r="M645" s="2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2.75" customHeight="1" x14ac:dyDescent="0.25">
      <c r="A646" s="2"/>
      <c r="B646" s="2"/>
      <c r="C646" s="2"/>
      <c r="D646" s="2"/>
      <c r="E646" s="25"/>
      <c r="F646" s="26"/>
      <c r="G646" s="2"/>
      <c r="H646" s="2"/>
      <c r="I646" s="124"/>
      <c r="J646" s="122"/>
      <c r="K646" s="122"/>
      <c r="L646" s="122"/>
      <c r="M646" s="2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2.75" customHeight="1" x14ac:dyDescent="0.25">
      <c r="A647" s="2"/>
      <c r="B647" s="2"/>
      <c r="C647" s="2"/>
      <c r="D647" s="2"/>
      <c r="E647" s="25"/>
      <c r="F647" s="26"/>
      <c r="G647" s="2"/>
      <c r="H647" s="2"/>
      <c r="I647" s="124"/>
      <c r="J647" s="122"/>
      <c r="K647" s="122"/>
      <c r="L647" s="122"/>
      <c r="M647" s="2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2.75" customHeight="1" x14ac:dyDescent="0.25">
      <c r="A648" s="2"/>
      <c r="B648" s="2"/>
      <c r="C648" s="2"/>
      <c r="D648" s="2"/>
      <c r="E648" s="25"/>
      <c r="F648" s="26"/>
      <c r="G648" s="2"/>
      <c r="H648" s="2"/>
      <c r="I648" s="124"/>
      <c r="J648" s="122"/>
      <c r="K648" s="122"/>
      <c r="L648" s="122"/>
      <c r="M648" s="2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2.75" customHeight="1" x14ac:dyDescent="0.25">
      <c r="A649" s="2"/>
      <c r="B649" s="2"/>
      <c r="C649" s="2"/>
      <c r="D649" s="2"/>
      <c r="E649" s="25"/>
      <c r="F649" s="26"/>
      <c r="G649" s="2"/>
      <c r="H649" s="2"/>
      <c r="I649" s="124"/>
      <c r="J649" s="122"/>
      <c r="K649" s="122"/>
      <c r="L649" s="122"/>
      <c r="M649" s="2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2.75" customHeight="1" x14ac:dyDescent="0.25">
      <c r="A650" s="2"/>
      <c r="B650" s="2"/>
      <c r="C650" s="2"/>
      <c r="D650" s="2"/>
      <c r="E650" s="25"/>
      <c r="F650" s="26"/>
      <c r="G650" s="2"/>
      <c r="H650" s="2"/>
      <c r="I650" s="124"/>
      <c r="J650" s="122"/>
      <c r="K650" s="122"/>
      <c r="L650" s="122"/>
      <c r="M650" s="2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2.75" customHeight="1" x14ac:dyDescent="0.25">
      <c r="A651" s="2"/>
      <c r="B651" s="2"/>
      <c r="C651" s="2"/>
      <c r="D651" s="2"/>
      <c r="E651" s="25"/>
      <c r="F651" s="26"/>
      <c r="G651" s="2"/>
      <c r="H651" s="2"/>
      <c r="I651" s="124"/>
      <c r="J651" s="122"/>
      <c r="K651" s="122"/>
      <c r="L651" s="122"/>
      <c r="M651" s="2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2.75" customHeight="1" x14ac:dyDescent="0.25">
      <c r="A652" s="2"/>
      <c r="B652" s="2"/>
      <c r="C652" s="2"/>
      <c r="D652" s="2"/>
      <c r="E652" s="25"/>
      <c r="F652" s="26"/>
      <c r="G652" s="2"/>
      <c r="H652" s="2"/>
      <c r="I652" s="124"/>
      <c r="J652" s="122"/>
      <c r="K652" s="122"/>
      <c r="L652" s="122"/>
      <c r="M652" s="2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2.75" customHeight="1" x14ac:dyDescent="0.25">
      <c r="A653" s="2"/>
      <c r="B653" s="2"/>
      <c r="C653" s="2"/>
      <c r="D653" s="2"/>
      <c r="E653" s="25"/>
      <c r="F653" s="26"/>
      <c r="G653" s="2"/>
      <c r="H653" s="2"/>
      <c r="I653" s="124"/>
      <c r="J653" s="122"/>
      <c r="K653" s="122"/>
      <c r="L653" s="122"/>
      <c r="M653" s="2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2.75" customHeight="1" x14ac:dyDescent="0.25">
      <c r="A654" s="2"/>
      <c r="B654" s="2"/>
      <c r="C654" s="2"/>
      <c r="D654" s="2"/>
      <c r="E654" s="25"/>
      <c r="F654" s="26"/>
      <c r="G654" s="2"/>
      <c r="H654" s="2"/>
      <c r="I654" s="124"/>
      <c r="J654" s="122"/>
      <c r="K654" s="122"/>
      <c r="L654" s="122"/>
      <c r="M654" s="2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2.75" customHeight="1" x14ac:dyDescent="0.25">
      <c r="A655" s="2"/>
      <c r="B655" s="2"/>
      <c r="C655" s="2"/>
      <c r="D655" s="2"/>
      <c r="E655" s="25"/>
      <c r="F655" s="26"/>
      <c r="G655" s="2"/>
      <c r="H655" s="2"/>
      <c r="I655" s="124"/>
      <c r="J655" s="122"/>
      <c r="K655" s="122"/>
      <c r="L655" s="122"/>
      <c r="M655" s="2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2.75" customHeight="1" x14ac:dyDescent="0.25">
      <c r="A656" s="2"/>
      <c r="B656" s="2"/>
      <c r="C656" s="2"/>
      <c r="D656" s="2"/>
      <c r="E656" s="25"/>
      <c r="F656" s="26"/>
      <c r="G656" s="2"/>
      <c r="H656" s="2"/>
      <c r="I656" s="124"/>
      <c r="J656" s="122"/>
      <c r="K656" s="122"/>
      <c r="L656" s="122"/>
      <c r="M656" s="2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2.75" customHeight="1" x14ac:dyDescent="0.25">
      <c r="A657" s="2"/>
      <c r="B657" s="2"/>
      <c r="C657" s="2"/>
      <c r="D657" s="2"/>
      <c r="E657" s="25"/>
      <c r="F657" s="26"/>
      <c r="G657" s="2"/>
      <c r="H657" s="2"/>
      <c r="I657" s="124"/>
      <c r="J657" s="122"/>
      <c r="K657" s="122"/>
      <c r="L657" s="122"/>
      <c r="M657" s="2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2.75" customHeight="1" x14ac:dyDescent="0.25">
      <c r="A658" s="2"/>
      <c r="B658" s="2"/>
      <c r="C658" s="2"/>
      <c r="D658" s="2"/>
      <c r="E658" s="25"/>
      <c r="F658" s="26"/>
      <c r="G658" s="2"/>
      <c r="H658" s="2"/>
      <c r="I658" s="124"/>
      <c r="J658" s="122"/>
      <c r="K658" s="122"/>
      <c r="L658" s="122"/>
      <c r="M658" s="2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2.75" customHeight="1" x14ac:dyDescent="0.25">
      <c r="A659" s="2"/>
      <c r="B659" s="2"/>
      <c r="C659" s="2"/>
      <c r="D659" s="2"/>
      <c r="E659" s="25"/>
      <c r="F659" s="26"/>
      <c r="G659" s="2"/>
      <c r="H659" s="2"/>
      <c r="I659" s="124"/>
      <c r="J659" s="122"/>
      <c r="K659" s="122"/>
      <c r="L659" s="122"/>
      <c r="M659" s="2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2.75" customHeight="1" x14ac:dyDescent="0.25">
      <c r="A660" s="2"/>
      <c r="B660" s="2"/>
      <c r="C660" s="2"/>
      <c r="D660" s="2"/>
      <c r="E660" s="25"/>
      <c r="F660" s="26"/>
      <c r="G660" s="2"/>
      <c r="H660" s="2"/>
      <c r="I660" s="124"/>
      <c r="J660" s="122"/>
      <c r="K660" s="122"/>
      <c r="L660" s="122"/>
      <c r="M660" s="2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2.75" customHeight="1" x14ac:dyDescent="0.25">
      <c r="A661" s="2"/>
      <c r="B661" s="2"/>
      <c r="C661" s="2"/>
      <c r="D661" s="2"/>
      <c r="E661" s="25"/>
      <c r="F661" s="26"/>
      <c r="G661" s="2"/>
      <c r="H661" s="2"/>
      <c r="I661" s="124"/>
      <c r="J661" s="122"/>
      <c r="K661" s="122"/>
      <c r="L661" s="122"/>
      <c r="M661" s="2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2.75" customHeight="1" x14ac:dyDescent="0.25">
      <c r="A662" s="2"/>
      <c r="B662" s="2"/>
      <c r="C662" s="2"/>
      <c r="D662" s="2"/>
      <c r="E662" s="25"/>
      <c r="F662" s="26"/>
      <c r="G662" s="2"/>
      <c r="H662" s="2"/>
      <c r="I662" s="124"/>
      <c r="J662" s="122"/>
      <c r="K662" s="122"/>
      <c r="L662" s="122"/>
      <c r="M662" s="2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2.75" customHeight="1" x14ac:dyDescent="0.25">
      <c r="A663" s="2"/>
      <c r="B663" s="2"/>
      <c r="C663" s="2"/>
      <c r="D663" s="2"/>
      <c r="E663" s="25"/>
      <c r="F663" s="26"/>
      <c r="G663" s="2"/>
      <c r="H663" s="2"/>
      <c r="I663" s="124"/>
      <c r="J663" s="122"/>
      <c r="K663" s="122"/>
      <c r="L663" s="122"/>
      <c r="M663" s="2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2.75" customHeight="1" x14ac:dyDescent="0.25">
      <c r="A664" s="2"/>
      <c r="B664" s="2"/>
      <c r="C664" s="2"/>
      <c r="D664" s="2"/>
      <c r="E664" s="25"/>
      <c r="F664" s="26"/>
      <c r="G664" s="2"/>
      <c r="H664" s="2"/>
      <c r="I664" s="124"/>
      <c r="J664" s="122"/>
      <c r="K664" s="122"/>
      <c r="L664" s="122"/>
      <c r="M664" s="2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2.75" customHeight="1" x14ac:dyDescent="0.25">
      <c r="A665" s="2"/>
      <c r="B665" s="2"/>
      <c r="C665" s="2"/>
      <c r="D665" s="2"/>
      <c r="E665" s="25"/>
      <c r="F665" s="26"/>
      <c r="G665" s="2"/>
      <c r="H665" s="2"/>
      <c r="I665" s="124"/>
      <c r="J665" s="122"/>
      <c r="K665" s="122"/>
      <c r="L665" s="122"/>
      <c r="M665" s="2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2.75" customHeight="1" x14ac:dyDescent="0.25">
      <c r="A666" s="2"/>
      <c r="B666" s="2"/>
      <c r="C666" s="2"/>
      <c r="D666" s="2"/>
      <c r="E666" s="25"/>
      <c r="F666" s="26"/>
      <c r="G666" s="2"/>
      <c r="H666" s="2"/>
      <c r="I666" s="124"/>
      <c r="J666" s="122"/>
      <c r="K666" s="122"/>
      <c r="L666" s="122"/>
      <c r="M666" s="2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2.75" customHeight="1" x14ac:dyDescent="0.25">
      <c r="A667" s="2"/>
      <c r="B667" s="2"/>
      <c r="C667" s="2"/>
      <c r="D667" s="2"/>
      <c r="E667" s="25"/>
      <c r="F667" s="26"/>
      <c r="G667" s="2"/>
      <c r="H667" s="2"/>
      <c r="I667" s="124"/>
      <c r="J667" s="122"/>
      <c r="K667" s="122"/>
      <c r="L667" s="122"/>
      <c r="M667" s="2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2.75" customHeight="1" x14ac:dyDescent="0.25">
      <c r="A668" s="2"/>
      <c r="B668" s="2"/>
      <c r="C668" s="2"/>
      <c r="D668" s="2"/>
      <c r="E668" s="25"/>
      <c r="F668" s="26"/>
      <c r="G668" s="2"/>
      <c r="H668" s="2"/>
      <c r="I668" s="124"/>
      <c r="J668" s="122"/>
      <c r="K668" s="122"/>
      <c r="L668" s="122"/>
      <c r="M668" s="2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2.75" customHeight="1" x14ac:dyDescent="0.25">
      <c r="A669" s="2"/>
      <c r="B669" s="2"/>
      <c r="C669" s="2"/>
      <c r="D669" s="2"/>
      <c r="E669" s="25"/>
      <c r="F669" s="26"/>
      <c r="G669" s="2"/>
      <c r="H669" s="2"/>
      <c r="I669" s="124"/>
      <c r="J669" s="122"/>
      <c r="K669" s="122"/>
      <c r="L669" s="122"/>
      <c r="M669" s="2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2.75" customHeight="1" x14ac:dyDescent="0.25">
      <c r="A670" s="2"/>
      <c r="B670" s="2"/>
      <c r="C670" s="2"/>
      <c r="D670" s="2"/>
      <c r="E670" s="25"/>
      <c r="F670" s="26"/>
      <c r="G670" s="2"/>
      <c r="H670" s="2"/>
      <c r="I670" s="124"/>
      <c r="J670" s="122"/>
      <c r="K670" s="122"/>
      <c r="L670" s="122"/>
      <c r="M670" s="2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2.75" customHeight="1" x14ac:dyDescent="0.25">
      <c r="A671" s="2"/>
      <c r="B671" s="2"/>
      <c r="C671" s="2"/>
      <c r="D671" s="2"/>
      <c r="E671" s="25"/>
      <c r="F671" s="26"/>
      <c r="G671" s="2"/>
      <c r="H671" s="2"/>
      <c r="I671" s="124"/>
      <c r="J671" s="122"/>
      <c r="K671" s="122"/>
      <c r="L671" s="122"/>
      <c r="M671" s="2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2.75" customHeight="1" x14ac:dyDescent="0.25">
      <c r="A672" s="2"/>
      <c r="B672" s="2"/>
      <c r="C672" s="2"/>
      <c r="D672" s="2"/>
      <c r="E672" s="25"/>
      <c r="F672" s="26"/>
      <c r="G672" s="2"/>
      <c r="H672" s="2"/>
      <c r="I672" s="124"/>
      <c r="J672" s="122"/>
      <c r="K672" s="122"/>
      <c r="L672" s="122"/>
      <c r="M672" s="2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2.75" customHeight="1" x14ac:dyDescent="0.25">
      <c r="A673" s="2"/>
      <c r="B673" s="2"/>
      <c r="C673" s="2"/>
      <c r="D673" s="2"/>
      <c r="E673" s="25"/>
      <c r="F673" s="26"/>
      <c r="G673" s="2"/>
      <c r="H673" s="2"/>
      <c r="I673" s="124"/>
      <c r="J673" s="122"/>
      <c r="K673" s="122"/>
      <c r="L673" s="122"/>
      <c r="M673" s="2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2.75" customHeight="1" x14ac:dyDescent="0.25">
      <c r="A674" s="2"/>
      <c r="B674" s="2"/>
      <c r="C674" s="2"/>
      <c r="D674" s="2"/>
      <c r="E674" s="25"/>
      <c r="F674" s="26"/>
      <c r="G674" s="2"/>
      <c r="H674" s="2"/>
      <c r="I674" s="124"/>
      <c r="J674" s="122"/>
      <c r="K674" s="122"/>
      <c r="L674" s="122"/>
      <c r="M674" s="2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2.75" customHeight="1" x14ac:dyDescent="0.25">
      <c r="A675" s="2"/>
      <c r="B675" s="2"/>
      <c r="C675" s="2"/>
      <c r="D675" s="2"/>
      <c r="E675" s="25"/>
      <c r="F675" s="26"/>
      <c r="G675" s="2"/>
      <c r="H675" s="2"/>
      <c r="I675" s="124"/>
      <c r="J675" s="122"/>
      <c r="K675" s="122"/>
      <c r="L675" s="122"/>
      <c r="M675" s="2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2.75" customHeight="1" x14ac:dyDescent="0.25">
      <c r="A676" s="2"/>
      <c r="B676" s="2"/>
      <c r="C676" s="2"/>
      <c r="D676" s="2"/>
      <c r="E676" s="25"/>
      <c r="F676" s="26"/>
      <c r="G676" s="2"/>
      <c r="H676" s="2"/>
      <c r="I676" s="124"/>
      <c r="J676" s="122"/>
      <c r="K676" s="122"/>
      <c r="L676" s="122"/>
      <c r="M676" s="2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2.75" customHeight="1" x14ac:dyDescent="0.25">
      <c r="A677" s="2"/>
      <c r="B677" s="2"/>
      <c r="C677" s="2"/>
      <c r="D677" s="2"/>
      <c r="E677" s="25"/>
      <c r="F677" s="26"/>
      <c r="G677" s="2"/>
      <c r="H677" s="2"/>
      <c r="I677" s="124"/>
      <c r="J677" s="122"/>
      <c r="K677" s="122"/>
      <c r="L677" s="122"/>
      <c r="M677" s="2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2.75" customHeight="1" x14ac:dyDescent="0.25">
      <c r="A678" s="2"/>
      <c r="B678" s="2"/>
      <c r="C678" s="2"/>
      <c r="D678" s="2"/>
      <c r="E678" s="25"/>
      <c r="F678" s="26"/>
      <c r="G678" s="2"/>
      <c r="H678" s="2"/>
      <c r="I678" s="124"/>
      <c r="J678" s="122"/>
      <c r="K678" s="122"/>
      <c r="L678" s="122"/>
      <c r="M678" s="2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2.75" customHeight="1" x14ac:dyDescent="0.25">
      <c r="A679" s="2"/>
      <c r="B679" s="2"/>
      <c r="C679" s="2"/>
      <c r="D679" s="2"/>
      <c r="E679" s="25"/>
      <c r="F679" s="26"/>
      <c r="G679" s="2"/>
      <c r="H679" s="2"/>
      <c r="I679" s="124"/>
      <c r="J679" s="122"/>
      <c r="K679" s="122"/>
      <c r="L679" s="122"/>
      <c r="M679" s="2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2.75" customHeight="1" x14ac:dyDescent="0.25">
      <c r="A680" s="2"/>
      <c r="B680" s="2"/>
      <c r="C680" s="2"/>
      <c r="D680" s="2"/>
      <c r="E680" s="25"/>
      <c r="F680" s="26"/>
      <c r="G680" s="2"/>
      <c r="H680" s="2"/>
      <c r="I680" s="124"/>
      <c r="J680" s="122"/>
      <c r="K680" s="122"/>
      <c r="L680" s="122"/>
      <c r="M680" s="2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2.75" customHeight="1" x14ac:dyDescent="0.25">
      <c r="A681" s="2"/>
      <c r="B681" s="2"/>
      <c r="C681" s="2"/>
      <c r="D681" s="2"/>
      <c r="E681" s="25"/>
      <c r="F681" s="26"/>
      <c r="G681" s="2"/>
      <c r="H681" s="2"/>
      <c r="I681" s="124"/>
      <c r="J681" s="122"/>
      <c r="K681" s="122"/>
      <c r="L681" s="122"/>
      <c r="M681" s="2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2.75" customHeight="1" x14ac:dyDescent="0.25">
      <c r="A682" s="2"/>
      <c r="B682" s="2"/>
      <c r="C682" s="2"/>
      <c r="D682" s="2"/>
      <c r="E682" s="25"/>
      <c r="F682" s="26"/>
      <c r="G682" s="2"/>
      <c r="H682" s="2"/>
      <c r="I682" s="124"/>
      <c r="J682" s="122"/>
      <c r="K682" s="122"/>
      <c r="L682" s="122"/>
      <c r="M682" s="2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2.75" customHeight="1" x14ac:dyDescent="0.25">
      <c r="A683" s="2"/>
      <c r="B683" s="2"/>
      <c r="C683" s="2"/>
      <c r="D683" s="2"/>
      <c r="E683" s="25"/>
      <c r="F683" s="26"/>
      <c r="G683" s="2"/>
      <c r="H683" s="2"/>
      <c r="I683" s="124"/>
      <c r="J683" s="122"/>
      <c r="K683" s="122"/>
      <c r="L683" s="122"/>
      <c r="M683" s="2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2.75" customHeight="1" x14ac:dyDescent="0.25">
      <c r="A684" s="2"/>
      <c r="B684" s="2"/>
      <c r="C684" s="2"/>
      <c r="D684" s="2"/>
      <c r="E684" s="25"/>
      <c r="F684" s="26"/>
      <c r="G684" s="2"/>
      <c r="H684" s="2"/>
      <c r="I684" s="124"/>
      <c r="J684" s="122"/>
      <c r="K684" s="122"/>
      <c r="L684" s="122"/>
      <c r="M684" s="2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2.75" customHeight="1" x14ac:dyDescent="0.25">
      <c r="A685" s="2"/>
      <c r="B685" s="2"/>
      <c r="C685" s="2"/>
      <c r="D685" s="2"/>
      <c r="E685" s="25"/>
      <c r="F685" s="26"/>
      <c r="G685" s="2"/>
      <c r="H685" s="2"/>
      <c r="I685" s="124"/>
      <c r="J685" s="122"/>
      <c r="K685" s="122"/>
      <c r="L685" s="122"/>
      <c r="M685" s="2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2.75" customHeight="1" x14ac:dyDescent="0.25">
      <c r="A686" s="2"/>
      <c r="B686" s="2"/>
      <c r="C686" s="2"/>
      <c r="D686" s="2"/>
      <c r="E686" s="25"/>
      <c r="F686" s="26"/>
      <c r="G686" s="2"/>
      <c r="H686" s="2"/>
      <c r="I686" s="124"/>
      <c r="J686" s="122"/>
      <c r="K686" s="122"/>
      <c r="L686" s="122"/>
      <c r="M686" s="2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2.75" customHeight="1" x14ac:dyDescent="0.25">
      <c r="A687" s="2"/>
      <c r="B687" s="2"/>
      <c r="C687" s="2"/>
      <c r="D687" s="2"/>
      <c r="E687" s="25"/>
      <c r="F687" s="26"/>
      <c r="G687" s="2"/>
      <c r="H687" s="2"/>
      <c r="I687" s="124"/>
      <c r="J687" s="122"/>
      <c r="K687" s="122"/>
      <c r="L687" s="122"/>
      <c r="M687" s="2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2.75" customHeight="1" x14ac:dyDescent="0.25">
      <c r="A688" s="2"/>
      <c r="B688" s="2"/>
      <c r="C688" s="2"/>
      <c r="D688" s="2"/>
      <c r="E688" s="25"/>
      <c r="F688" s="26"/>
      <c r="G688" s="2"/>
      <c r="H688" s="2"/>
      <c r="I688" s="124"/>
      <c r="J688" s="122"/>
      <c r="K688" s="122"/>
      <c r="L688" s="122"/>
      <c r="M688" s="2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2.75" customHeight="1" x14ac:dyDescent="0.25">
      <c r="A689" s="2"/>
      <c r="B689" s="2"/>
      <c r="C689" s="2"/>
      <c r="D689" s="2"/>
      <c r="E689" s="25"/>
      <c r="F689" s="26"/>
      <c r="G689" s="2"/>
      <c r="H689" s="2"/>
      <c r="I689" s="124"/>
      <c r="J689" s="122"/>
      <c r="K689" s="122"/>
      <c r="L689" s="122"/>
      <c r="M689" s="2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2.75" customHeight="1" x14ac:dyDescent="0.25">
      <c r="A690" s="2"/>
      <c r="B690" s="2"/>
      <c r="C690" s="2"/>
      <c r="D690" s="2"/>
      <c r="E690" s="25"/>
      <c r="F690" s="26"/>
      <c r="G690" s="2"/>
      <c r="H690" s="2"/>
      <c r="I690" s="124"/>
      <c r="J690" s="122"/>
      <c r="K690" s="122"/>
      <c r="L690" s="122"/>
      <c r="M690" s="2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2.75" customHeight="1" x14ac:dyDescent="0.25">
      <c r="A691" s="2"/>
      <c r="B691" s="2"/>
      <c r="C691" s="2"/>
      <c r="D691" s="2"/>
      <c r="E691" s="25"/>
      <c r="F691" s="26"/>
      <c r="G691" s="2"/>
      <c r="H691" s="2"/>
      <c r="I691" s="124"/>
      <c r="J691" s="122"/>
      <c r="K691" s="122"/>
      <c r="L691" s="122"/>
      <c r="M691" s="2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2.75" customHeight="1" x14ac:dyDescent="0.25">
      <c r="A692" s="2"/>
      <c r="B692" s="2"/>
      <c r="C692" s="2"/>
      <c r="D692" s="2"/>
      <c r="E692" s="25"/>
      <c r="F692" s="26"/>
      <c r="G692" s="2"/>
      <c r="H692" s="2"/>
      <c r="I692" s="124"/>
      <c r="J692" s="122"/>
      <c r="K692" s="122"/>
      <c r="L692" s="122"/>
      <c r="M692" s="2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2.75" customHeight="1" x14ac:dyDescent="0.25">
      <c r="A693" s="2"/>
      <c r="B693" s="2"/>
      <c r="C693" s="2"/>
      <c r="D693" s="2"/>
      <c r="E693" s="25"/>
      <c r="F693" s="26"/>
      <c r="G693" s="2"/>
      <c r="H693" s="2"/>
      <c r="I693" s="124"/>
      <c r="J693" s="122"/>
      <c r="K693" s="122"/>
      <c r="L693" s="122"/>
      <c r="M693" s="2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2.75" customHeight="1" x14ac:dyDescent="0.25">
      <c r="A694" s="2"/>
      <c r="B694" s="2"/>
      <c r="C694" s="2"/>
      <c r="D694" s="2"/>
      <c r="E694" s="25"/>
      <c r="F694" s="26"/>
      <c r="G694" s="2"/>
      <c r="H694" s="2"/>
      <c r="I694" s="124"/>
      <c r="J694" s="122"/>
      <c r="K694" s="122"/>
      <c r="L694" s="122"/>
      <c r="M694" s="2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2.75" customHeight="1" x14ac:dyDescent="0.25">
      <c r="A695" s="2"/>
      <c r="B695" s="2"/>
      <c r="C695" s="2"/>
      <c r="D695" s="2"/>
      <c r="E695" s="25"/>
      <c r="F695" s="26"/>
      <c r="G695" s="2"/>
      <c r="H695" s="2"/>
      <c r="I695" s="124"/>
      <c r="J695" s="122"/>
      <c r="K695" s="122"/>
      <c r="L695" s="122"/>
      <c r="M695" s="2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2.75" customHeight="1" x14ac:dyDescent="0.25">
      <c r="A696" s="2"/>
      <c r="B696" s="2"/>
      <c r="C696" s="2"/>
      <c r="D696" s="2"/>
      <c r="E696" s="25"/>
      <c r="F696" s="26"/>
      <c r="G696" s="2"/>
      <c r="H696" s="2"/>
      <c r="I696" s="124"/>
      <c r="J696" s="122"/>
      <c r="K696" s="122"/>
      <c r="L696" s="122"/>
      <c r="M696" s="2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2.75" customHeight="1" x14ac:dyDescent="0.25">
      <c r="A697" s="2"/>
      <c r="B697" s="2"/>
      <c r="C697" s="2"/>
      <c r="D697" s="2"/>
      <c r="E697" s="25"/>
      <c r="F697" s="26"/>
      <c r="G697" s="2"/>
      <c r="H697" s="2"/>
      <c r="I697" s="124"/>
      <c r="J697" s="122"/>
      <c r="K697" s="122"/>
      <c r="L697" s="122"/>
      <c r="M697" s="2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2.75" customHeight="1" x14ac:dyDescent="0.25">
      <c r="A698" s="2"/>
      <c r="B698" s="2"/>
      <c r="C698" s="2"/>
      <c r="D698" s="2"/>
      <c r="E698" s="25"/>
      <c r="F698" s="26"/>
      <c r="G698" s="2"/>
      <c r="H698" s="2"/>
      <c r="I698" s="124"/>
      <c r="J698" s="122"/>
      <c r="K698" s="122"/>
      <c r="L698" s="122"/>
      <c r="M698" s="2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2.75" customHeight="1" x14ac:dyDescent="0.25">
      <c r="A699" s="2"/>
      <c r="B699" s="2"/>
      <c r="C699" s="2"/>
      <c r="D699" s="2"/>
      <c r="E699" s="25"/>
      <c r="F699" s="26"/>
      <c r="G699" s="2"/>
      <c r="H699" s="2"/>
      <c r="I699" s="124"/>
      <c r="J699" s="122"/>
      <c r="K699" s="122"/>
      <c r="L699" s="122"/>
      <c r="M699" s="2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2.75" customHeight="1" x14ac:dyDescent="0.25">
      <c r="A700" s="2"/>
      <c r="B700" s="2"/>
      <c r="C700" s="2"/>
      <c r="D700" s="2"/>
      <c r="E700" s="25"/>
      <c r="F700" s="26"/>
      <c r="G700" s="2"/>
      <c r="H700" s="2"/>
      <c r="I700" s="124"/>
      <c r="J700" s="122"/>
      <c r="K700" s="122"/>
      <c r="L700" s="122"/>
      <c r="M700" s="2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2.75" customHeight="1" x14ac:dyDescent="0.25">
      <c r="A701" s="2"/>
      <c r="B701" s="2"/>
      <c r="C701" s="2"/>
      <c r="D701" s="2"/>
      <c r="E701" s="25"/>
      <c r="F701" s="26"/>
      <c r="G701" s="2"/>
      <c r="H701" s="2"/>
      <c r="I701" s="124"/>
      <c r="J701" s="122"/>
      <c r="K701" s="122"/>
      <c r="L701" s="122"/>
      <c r="M701" s="2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2.75" customHeight="1" x14ac:dyDescent="0.25">
      <c r="A702" s="2"/>
      <c r="B702" s="2"/>
      <c r="C702" s="2"/>
      <c r="D702" s="2"/>
      <c r="E702" s="25"/>
      <c r="F702" s="26"/>
      <c r="G702" s="2"/>
      <c r="H702" s="2"/>
      <c r="I702" s="124"/>
      <c r="J702" s="122"/>
      <c r="K702" s="122"/>
      <c r="L702" s="122"/>
      <c r="M702" s="2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2.75" customHeight="1" x14ac:dyDescent="0.25">
      <c r="A703" s="2"/>
      <c r="B703" s="2"/>
      <c r="C703" s="2"/>
      <c r="D703" s="2"/>
      <c r="E703" s="25"/>
      <c r="F703" s="26"/>
      <c r="G703" s="2"/>
      <c r="H703" s="2"/>
      <c r="I703" s="124"/>
      <c r="J703" s="122"/>
      <c r="K703" s="122"/>
      <c r="L703" s="122"/>
      <c r="M703" s="2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2.75" customHeight="1" x14ac:dyDescent="0.25">
      <c r="A704" s="2"/>
      <c r="B704" s="2"/>
      <c r="C704" s="2"/>
      <c r="D704" s="2"/>
      <c r="E704" s="25"/>
      <c r="F704" s="26"/>
      <c r="G704" s="2"/>
      <c r="H704" s="2"/>
      <c r="I704" s="124"/>
      <c r="J704" s="122"/>
      <c r="K704" s="122"/>
      <c r="L704" s="122"/>
      <c r="M704" s="2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2.75" customHeight="1" x14ac:dyDescent="0.25">
      <c r="A705" s="2"/>
      <c r="B705" s="2"/>
      <c r="C705" s="2"/>
      <c r="D705" s="2"/>
      <c r="E705" s="25"/>
      <c r="F705" s="26"/>
      <c r="G705" s="2"/>
      <c r="H705" s="2"/>
      <c r="I705" s="124"/>
      <c r="J705" s="122"/>
      <c r="K705" s="122"/>
      <c r="L705" s="122"/>
      <c r="M705" s="2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2.75" customHeight="1" x14ac:dyDescent="0.25">
      <c r="A706" s="2"/>
      <c r="B706" s="2"/>
      <c r="C706" s="2"/>
      <c r="D706" s="2"/>
      <c r="E706" s="25"/>
      <c r="F706" s="26"/>
      <c r="G706" s="2"/>
      <c r="H706" s="2"/>
      <c r="I706" s="124"/>
      <c r="J706" s="122"/>
      <c r="K706" s="122"/>
      <c r="L706" s="122"/>
      <c r="M706" s="2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2.75" customHeight="1" x14ac:dyDescent="0.25">
      <c r="A707" s="2"/>
      <c r="B707" s="2"/>
      <c r="C707" s="2"/>
      <c r="D707" s="2"/>
      <c r="E707" s="25"/>
      <c r="F707" s="26"/>
      <c r="G707" s="2"/>
      <c r="H707" s="2"/>
      <c r="I707" s="124"/>
      <c r="J707" s="122"/>
      <c r="K707" s="122"/>
      <c r="L707" s="122"/>
      <c r="M707" s="2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2.75" customHeight="1" x14ac:dyDescent="0.25">
      <c r="A708" s="2"/>
      <c r="B708" s="2"/>
      <c r="C708" s="2"/>
      <c r="D708" s="2"/>
      <c r="E708" s="25"/>
      <c r="F708" s="26"/>
      <c r="G708" s="2"/>
      <c r="H708" s="2"/>
      <c r="I708" s="124"/>
      <c r="J708" s="122"/>
      <c r="K708" s="122"/>
      <c r="L708" s="122"/>
      <c r="M708" s="2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2.75" customHeight="1" x14ac:dyDescent="0.25">
      <c r="A709" s="2"/>
      <c r="B709" s="2"/>
      <c r="C709" s="2"/>
      <c r="D709" s="2"/>
      <c r="E709" s="25"/>
      <c r="F709" s="26"/>
      <c r="G709" s="2"/>
      <c r="H709" s="2"/>
      <c r="I709" s="124"/>
      <c r="J709" s="122"/>
      <c r="K709" s="122"/>
      <c r="L709" s="122"/>
      <c r="M709" s="2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2.75" customHeight="1" x14ac:dyDescent="0.25">
      <c r="A710" s="2"/>
      <c r="B710" s="2"/>
      <c r="C710" s="2"/>
      <c r="D710" s="2"/>
      <c r="E710" s="25"/>
      <c r="F710" s="26"/>
      <c r="G710" s="2"/>
      <c r="H710" s="2"/>
      <c r="I710" s="124"/>
      <c r="J710" s="122"/>
      <c r="K710" s="122"/>
      <c r="L710" s="122"/>
      <c r="M710" s="2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2.75" customHeight="1" x14ac:dyDescent="0.25">
      <c r="A711" s="2"/>
      <c r="B711" s="2"/>
      <c r="C711" s="2"/>
      <c r="D711" s="2"/>
      <c r="E711" s="25"/>
      <c r="F711" s="26"/>
      <c r="G711" s="2"/>
      <c r="H711" s="2"/>
      <c r="I711" s="124"/>
      <c r="J711" s="122"/>
      <c r="K711" s="122"/>
      <c r="L711" s="122"/>
      <c r="M711" s="2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2.75" customHeight="1" x14ac:dyDescent="0.25">
      <c r="A712" s="2"/>
      <c r="B712" s="2"/>
      <c r="C712" s="2"/>
      <c r="D712" s="2"/>
      <c r="E712" s="25"/>
      <c r="F712" s="26"/>
      <c r="G712" s="2"/>
      <c r="H712" s="2"/>
      <c r="I712" s="124"/>
      <c r="J712" s="122"/>
      <c r="K712" s="122"/>
      <c r="L712" s="122"/>
      <c r="M712" s="2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2.75" customHeight="1" x14ac:dyDescent="0.25">
      <c r="A713" s="2"/>
      <c r="B713" s="2"/>
      <c r="C713" s="2"/>
      <c r="D713" s="2"/>
      <c r="E713" s="25"/>
      <c r="F713" s="26"/>
      <c r="G713" s="2"/>
      <c r="H713" s="2"/>
      <c r="I713" s="124"/>
      <c r="J713" s="122"/>
      <c r="K713" s="122"/>
      <c r="L713" s="122"/>
      <c r="M713" s="2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2.75" customHeight="1" x14ac:dyDescent="0.25">
      <c r="A714" s="2"/>
      <c r="B714" s="2"/>
      <c r="C714" s="2"/>
      <c r="D714" s="2"/>
      <c r="E714" s="25"/>
      <c r="F714" s="26"/>
      <c r="G714" s="2"/>
      <c r="H714" s="2"/>
      <c r="I714" s="124"/>
      <c r="J714" s="122"/>
      <c r="K714" s="122"/>
      <c r="L714" s="122"/>
      <c r="M714" s="2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2.75" customHeight="1" x14ac:dyDescent="0.25">
      <c r="A715" s="2"/>
      <c r="B715" s="2"/>
      <c r="C715" s="2"/>
      <c r="D715" s="2"/>
      <c r="E715" s="25"/>
      <c r="F715" s="26"/>
      <c r="G715" s="2"/>
      <c r="H715" s="2"/>
      <c r="I715" s="124"/>
      <c r="J715" s="122"/>
      <c r="K715" s="122"/>
      <c r="L715" s="122"/>
      <c r="M715" s="2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2.75" customHeight="1" x14ac:dyDescent="0.25">
      <c r="A716" s="2"/>
      <c r="B716" s="2"/>
      <c r="C716" s="2"/>
      <c r="D716" s="2"/>
      <c r="E716" s="25"/>
      <c r="F716" s="26"/>
      <c r="G716" s="2"/>
      <c r="H716" s="2"/>
      <c r="I716" s="124"/>
      <c r="J716" s="122"/>
      <c r="K716" s="122"/>
      <c r="L716" s="122"/>
      <c r="M716" s="2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2.75" customHeight="1" x14ac:dyDescent="0.25">
      <c r="A717" s="2"/>
      <c r="B717" s="2"/>
      <c r="C717" s="2"/>
      <c r="D717" s="2"/>
      <c r="E717" s="25"/>
      <c r="F717" s="26"/>
      <c r="G717" s="2"/>
      <c r="H717" s="2"/>
      <c r="I717" s="124"/>
      <c r="J717" s="122"/>
      <c r="K717" s="122"/>
      <c r="L717" s="122"/>
      <c r="M717" s="2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2.75" customHeight="1" x14ac:dyDescent="0.25">
      <c r="A718" s="2"/>
      <c r="B718" s="2"/>
      <c r="C718" s="2"/>
      <c r="D718" s="2"/>
      <c r="E718" s="25"/>
      <c r="F718" s="26"/>
      <c r="G718" s="2"/>
      <c r="H718" s="2"/>
      <c r="I718" s="124"/>
      <c r="J718" s="122"/>
      <c r="K718" s="122"/>
      <c r="L718" s="122"/>
      <c r="M718" s="2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2.75" customHeight="1" x14ac:dyDescent="0.25">
      <c r="A719" s="2"/>
      <c r="B719" s="2"/>
      <c r="C719" s="2"/>
      <c r="D719" s="2"/>
      <c r="E719" s="25"/>
      <c r="F719" s="26"/>
      <c r="G719" s="2"/>
      <c r="H719" s="2"/>
      <c r="I719" s="124"/>
      <c r="J719" s="122"/>
      <c r="K719" s="122"/>
      <c r="L719" s="122"/>
      <c r="M719" s="2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2.75" customHeight="1" x14ac:dyDescent="0.25">
      <c r="A720" s="2"/>
      <c r="B720" s="2"/>
      <c r="C720" s="2"/>
      <c r="D720" s="2"/>
      <c r="E720" s="25"/>
      <c r="F720" s="26"/>
      <c r="G720" s="2"/>
      <c r="H720" s="2"/>
      <c r="I720" s="124"/>
      <c r="J720" s="122"/>
      <c r="K720" s="122"/>
      <c r="L720" s="122"/>
      <c r="M720" s="2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2.75" customHeight="1" x14ac:dyDescent="0.25">
      <c r="A721" s="2"/>
      <c r="B721" s="2"/>
      <c r="C721" s="2"/>
      <c r="D721" s="2"/>
      <c r="E721" s="25"/>
      <c r="F721" s="26"/>
      <c r="G721" s="2"/>
      <c r="H721" s="2"/>
      <c r="I721" s="124"/>
      <c r="J721" s="122"/>
      <c r="K721" s="122"/>
      <c r="L721" s="122"/>
      <c r="M721" s="2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2.75" customHeight="1" x14ac:dyDescent="0.25">
      <c r="A722" s="2"/>
      <c r="B722" s="2"/>
      <c r="C722" s="2"/>
      <c r="D722" s="2"/>
      <c r="E722" s="25"/>
      <c r="F722" s="26"/>
      <c r="G722" s="2"/>
      <c r="H722" s="2"/>
      <c r="I722" s="124"/>
      <c r="J722" s="122"/>
      <c r="K722" s="122"/>
      <c r="L722" s="122"/>
      <c r="M722" s="2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2.75" customHeight="1" x14ac:dyDescent="0.25">
      <c r="A723" s="2"/>
      <c r="B723" s="2"/>
      <c r="C723" s="2"/>
      <c r="D723" s="2"/>
      <c r="E723" s="25"/>
      <c r="F723" s="26"/>
      <c r="G723" s="2"/>
      <c r="H723" s="2"/>
      <c r="I723" s="124"/>
      <c r="J723" s="122"/>
      <c r="K723" s="122"/>
      <c r="L723" s="122"/>
      <c r="M723" s="2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2.75" customHeight="1" x14ac:dyDescent="0.25">
      <c r="A724" s="2"/>
      <c r="B724" s="2"/>
      <c r="C724" s="2"/>
      <c r="D724" s="2"/>
      <c r="E724" s="25"/>
      <c r="F724" s="26"/>
      <c r="G724" s="2"/>
      <c r="H724" s="2"/>
      <c r="I724" s="124"/>
      <c r="J724" s="122"/>
      <c r="K724" s="122"/>
      <c r="L724" s="122"/>
      <c r="M724" s="2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2.75" customHeight="1" x14ac:dyDescent="0.25">
      <c r="A725" s="2"/>
      <c r="B725" s="2"/>
      <c r="C725" s="2"/>
      <c r="D725" s="2"/>
      <c r="E725" s="25"/>
      <c r="F725" s="26"/>
      <c r="G725" s="2"/>
      <c r="H725" s="2"/>
      <c r="I725" s="124"/>
      <c r="J725" s="122"/>
      <c r="K725" s="122"/>
      <c r="L725" s="122"/>
      <c r="M725" s="2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2.75" customHeight="1" x14ac:dyDescent="0.25">
      <c r="A726" s="2"/>
      <c r="B726" s="2"/>
      <c r="C726" s="2"/>
      <c r="D726" s="2"/>
      <c r="E726" s="25"/>
      <c r="F726" s="26"/>
      <c r="G726" s="2"/>
      <c r="H726" s="2"/>
      <c r="I726" s="124"/>
      <c r="J726" s="122"/>
      <c r="K726" s="122"/>
      <c r="L726" s="122"/>
      <c r="M726" s="2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2.75" customHeight="1" x14ac:dyDescent="0.25">
      <c r="A727" s="2"/>
      <c r="B727" s="2"/>
      <c r="C727" s="2"/>
      <c r="D727" s="2"/>
      <c r="E727" s="25"/>
      <c r="F727" s="26"/>
      <c r="G727" s="2"/>
      <c r="H727" s="2"/>
      <c r="I727" s="124"/>
      <c r="J727" s="122"/>
      <c r="K727" s="122"/>
      <c r="L727" s="122"/>
      <c r="M727" s="2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2.75" customHeight="1" x14ac:dyDescent="0.25">
      <c r="A728" s="2"/>
      <c r="B728" s="2"/>
      <c r="C728" s="2"/>
      <c r="D728" s="2"/>
      <c r="E728" s="25"/>
      <c r="F728" s="26"/>
      <c r="G728" s="2"/>
      <c r="H728" s="2"/>
      <c r="I728" s="124"/>
      <c r="J728" s="122"/>
      <c r="K728" s="122"/>
      <c r="L728" s="122"/>
      <c r="M728" s="2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2.75" customHeight="1" x14ac:dyDescent="0.25">
      <c r="A729" s="2"/>
      <c r="B729" s="2"/>
      <c r="C729" s="2"/>
      <c r="D729" s="2"/>
      <c r="E729" s="25"/>
      <c r="F729" s="26"/>
      <c r="G729" s="2"/>
      <c r="H729" s="2"/>
      <c r="I729" s="124"/>
      <c r="J729" s="122"/>
      <c r="K729" s="122"/>
      <c r="L729" s="122"/>
      <c r="M729" s="2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2.75" customHeight="1" x14ac:dyDescent="0.25">
      <c r="A730" s="2"/>
      <c r="B730" s="2"/>
      <c r="C730" s="2"/>
      <c r="D730" s="2"/>
      <c r="E730" s="25"/>
      <c r="F730" s="26"/>
      <c r="G730" s="2"/>
      <c r="H730" s="2"/>
      <c r="I730" s="124"/>
      <c r="J730" s="122"/>
      <c r="K730" s="122"/>
      <c r="L730" s="122"/>
      <c r="M730" s="2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2.75" customHeight="1" x14ac:dyDescent="0.25">
      <c r="A731" s="2"/>
      <c r="B731" s="2"/>
      <c r="C731" s="2"/>
      <c r="D731" s="2"/>
      <c r="E731" s="25"/>
      <c r="F731" s="26"/>
      <c r="G731" s="2"/>
      <c r="H731" s="2"/>
      <c r="I731" s="124"/>
      <c r="J731" s="122"/>
      <c r="K731" s="122"/>
      <c r="L731" s="122"/>
      <c r="M731" s="2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2.75" customHeight="1" x14ac:dyDescent="0.25">
      <c r="A732" s="2"/>
      <c r="B732" s="2"/>
      <c r="C732" s="2"/>
      <c r="D732" s="2"/>
      <c r="E732" s="25"/>
      <c r="F732" s="26"/>
      <c r="G732" s="2"/>
      <c r="H732" s="2"/>
      <c r="I732" s="124"/>
      <c r="J732" s="122"/>
      <c r="K732" s="122"/>
      <c r="L732" s="122"/>
      <c r="M732" s="2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2.75" customHeight="1" x14ac:dyDescent="0.25">
      <c r="A733" s="2"/>
      <c r="B733" s="2"/>
      <c r="C733" s="2"/>
      <c r="D733" s="2"/>
      <c r="E733" s="25"/>
      <c r="F733" s="26"/>
      <c r="G733" s="2"/>
      <c r="H733" s="2"/>
      <c r="I733" s="124"/>
      <c r="J733" s="122"/>
      <c r="K733" s="122"/>
      <c r="L733" s="122"/>
      <c r="M733" s="2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2.75" customHeight="1" x14ac:dyDescent="0.25">
      <c r="A734" s="2"/>
      <c r="B734" s="2"/>
      <c r="C734" s="2"/>
      <c r="D734" s="2"/>
      <c r="E734" s="25"/>
      <c r="F734" s="26"/>
      <c r="G734" s="2"/>
      <c r="H734" s="2"/>
      <c r="I734" s="124"/>
      <c r="J734" s="122"/>
      <c r="K734" s="122"/>
      <c r="L734" s="122"/>
      <c r="M734" s="2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2.75" customHeight="1" x14ac:dyDescent="0.25">
      <c r="A735" s="2"/>
      <c r="B735" s="2"/>
      <c r="C735" s="2"/>
      <c r="D735" s="2"/>
      <c r="E735" s="25"/>
      <c r="F735" s="26"/>
      <c r="G735" s="2"/>
      <c r="H735" s="2"/>
      <c r="I735" s="124"/>
      <c r="J735" s="122"/>
      <c r="K735" s="122"/>
      <c r="L735" s="122"/>
      <c r="M735" s="2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2.75" customHeight="1" x14ac:dyDescent="0.25">
      <c r="A736" s="2"/>
      <c r="B736" s="2"/>
      <c r="C736" s="2"/>
      <c r="D736" s="2"/>
      <c r="E736" s="25"/>
      <c r="F736" s="26"/>
      <c r="G736" s="2"/>
      <c r="H736" s="2"/>
      <c r="I736" s="124"/>
      <c r="J736" s="122"/>
      <c r="K736" s="122"/>
      <c r="L736" s="122"/>
      <c r="M736" s="2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2.75" customHeight="1" x14ac:dyDescent="0.25">
      <c r="A737" s="2"/>
      <c r="B737" s="2"/>
      <c r="C737" s="2"/>
      <c r="D737" s="2"/>
      <c r="E737" s="25"/>
      <c r="F737" s="26"/>
      <c r="G737" s="2"/>
      <c r="H737" s="2"/>
      <c r="I737" s="124"/>
      <c r="J737" s="122"/>
      <c r="K737" s="122"/>
      <c r="L737" s="122"/>
      <c r="M737" s="2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2.75" customHeight="1" x14ac:dyDescent="0.25">
      <c r="A738" s="2"/>
      <c r="B738" s="2"/>
      <c r="C738" s="2"/>
      <c r="D738" s="2"/>
      <c r="E738" s="25"/>
      <c r="F738" s="26"/>
      <c r="G738" s="2"/>
      <c r="H738" s="2"/>
      <c r="I738" s="124"/>
      <c r="J738" s="122"/>
      <c r="K738" s="122"/>
      <c r="L738" s="122"/>
      <c r="M738" s="2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2.75" customHeight="1" x14ac:dyDescent="0.25">
      <c r="A739" s="2"/>
      <c r="B739" s="2"/>
      <c r="C739" s="2"/>
      <c r="D739" s="2"/>
      <c r="E739" s="25"/>
      <c r="F739" s="26"/>
      <c r="G739" s="2"/>
      <c r="H739" s="2"/>
      <c r="I739" s="124"/>
      <c r="J739" s="122"/>
      <c r="K739" s="122"/>
      <c r="L739" s="122"/>
      <c r="M739" s="2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2.75" customHeight="1" x14ac:dyDescent="0.25">
      <c r="A740" s="2"/>
      <c r="B740" s="2"/>
      <c r="C740" s="2"/>
      <c r="D740" s="2"/>
      <c r="E740" s="25"/>
      <c r="F740" s="26"/>
      <c r="G740" s="2"/>
      <c r="H740" s="2"/>
      <c r="I740" s="124"/>
      <c r="J740" s="122"/>
      <c r="K740" s="122"/>
      <c r="L740" s="122"/>
      <c r="M740" s="2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2.75" customHeight="1" x14ac:dyDescent="0.25">
      <c r="A741" s="2"/>
      <c r="B741" s="2"/>
      <c r="C741" s="2"/>
      <c r="D741" s="2"/>
      <c r="E741" s="25"/>
      <c r="F741" s="26"/>
      <c r="G741" s="2"/>
      <c r="H741" s="2"/>
      <c r="I741" s="124"/>
      <c r="J741" s="122"/>
      <c r="K741" s="122"/>
      <c r="L741" s="122"/>
      <c r="M741" s="2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2.75" customHeight="1" x14ac:dyDescent="0.25">
      <c r="A742" s="2"/>
      <c r="B742" s="2"/>
      <c r="C742" s="2"/>
      <c r="D742" s="2"/>
      <c r="E742" s="25"/>
      <c r="F742" s="26"/>
      <c r="G742" s="2"/>
      <c r="H742" s="2"/>
      <c r="I742" s="124"/>
      <c r="J742" s="122"/>
      <c r="K742" s="122"/>
      <c r="L742" s="122"/>
      <c r="M742" s="2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2.75" customHeight="1" x14ac:dyDescent="0.25">
      <c r="A743" s="2"/>
      <c r="B743" s="2"/>
      <c r="C743" s="2"/>
      <c r="D743" s="2"/>
      <c r="E743" s="25"/>
      <c r="F743" s="26"/>
      <c r="G743" s="2"/>
      <c r="H743" s="2"/>
      <c r="I743" s="124"/>
      <c r="J743" s="122"/>
      <c r="K743" s="122"/>
      <c r="L743" s="122"/>
      <c r="M743" s="2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2.75" customHeight="1" x14ac:dyDescent="0.25">
      <c r="A744" s="2"/>
      <c r="B744" s="2"/>
      <c r="C744" s="2"/>
      <c r="D744" s="2"/>
      <c r="E744" s="25"/>
      <c r="F744" s="26"/>
      <c r="G744" s="2"/>
      <c r="H744" s="2"/>
      <c r="I744" s="124"/>
      <c r="J744" s="122"/>
      <c r="K744" s="122"/>
      <c r="L744" s="122"/>
      <c r="M744" s="2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2.75" customHeight="1" x14ac:dyDescent="0.25">
      <c r="A745" s="2"/>
      <c r="B745" s="2"/>
      <c r="C745" s="2"/>
      <c r="D745" s="2"/>
      <c r="E745" s="25"/>
      <c r="F745" s="26"/>
      <c r="G745" s="2"/>
      <c r="H745" s="2"/>
      <c r="I745" s="124"/>
      <c r="J745" s="122"/>
      <c r="K745" s="122"/>
      <c r="L745" s="122"/>
      <c r="M745" s="2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2.75" customHeight="1" x14ac:dyDescent="0.25">
      <c r="A746" s="2"/>
      <c r="B746" s="2"/>
      <c r="C746" s="2"/>
      <c r="D746" s="2"/>
      <c r="E746" s="25"/>
      <c r="F746" s="26"/>
      <c r="G746" s="2"/>
      <c r="H746" s="2"/>
      <c r="I746" s="124"/>
      <c r="J746" s="122"/>
      <c r="K746" s="122"/>
      <c r="L746" s="122"/>
      <c r="M746" s="2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2.75" customHeight="1" x14ac:dyDescent="0.25">
      <c r="A747" s="2"/>
      <c r="B747" s="2"/>
      <c r="C747" s="2"/>
      <c r="D747" s="2"/>
      <c r="E747" s="25"/>
      <c r="F747" s="26"/>
      <c r="G747" s="2"/>
      <c r="H747" s="2"/>
      <c r="I747" s="124"/>
      <c r="J747" s="122"/>
      <c r="K747" s="122"/>
      <c r="L747" s="122"/>
      <c r="M747" s="2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2.75" customHeight="1" x14ac:dyDescent="0.25">
      <c r="A748" s="2"/>
      <c r="B748" s="2"/>
      <c r="C748" s="2"/>
      <c r="D748" s="2"/>
      <c r="E748" s="25"/>
      <c r="F748" s="26"/>
      <c r="G748" s="2"/>
      <c r="H748" s="2"/>
      <c r="I748" s="124"/>
      <c r="J748" s="122"/>
      <c r="K748" s="122"/>
      <c r="L748" s="122"/>
      <c r="M748" s="2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2.75" customHeight="1" x14ac:dyDescent="0.25">
      <c r="A749" s="2"/>
      <c r="B749" s="2"/>
      <c r="C749" s="2"/>
      <c r="D749" s="2"/>
      <c r="E749" s="25"/>
      <c r="F749" s="26"/>
      <c r="G749" s="2"/>
      <c r="H749" s="2"/>
      <c r="I749" s="124"/>
      <c r="J749" s="122"/>
      <c r="K749" s="122"/>
      <c r="L749" s="122"/>
      <c r="M749" s="2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2.75" customHeight="1" x14ac:dyDescent="0.25">
      <c r="A750" s="2"/>
      <c r="B750" s="2"/>
      <c r="C750" s="2"/>
      <c r="D750" s="2"/>
      <c r="E750" s="25"/>
      <c r="F750" s="26"/>
      <c r="G750" s="2"/>
      <c r="H750" s="2"/>
      <c r="I750" s="124"/>
      <c r="J750" s="122"/>
      <c r="K750" s="122"/>
      <c r="L750" s="122"/>
      <c r="M750" s="2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2.75" customHeight="1" x14ac:dyDescent="0.25">
      <c r="A751" s="2"/>
      <c r="B751" s="2"/>
      <c r="C751" s="2"/>
      <c r="D751" s="2"/>
      <c r="E751" s="25"/>
      <c r="F751" s="26"/>
      <c r="G751" s="2"/>
      <c r="H751" s="2"/>
      <c r="I751" s="124"/>
      <c r="J751" s="122"/>
      <c r="K751" s="122"/>
      <c r="L751" s="122"/>
      <c r="M751" s="2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2.75" customHeight="1" x14ac:dyDescent="0.25">
      <c r="A752" s="2"/>
      <c r="B752" s="2"/>
      <c r="C752" s="2"/>
      <c r="D752" s="2"/>
      <c r="E752" s="25"/>
      <c r="F752" s="26"/>
      <c r="G752" s="2"/>
      <c r="H752" s="2"/>
      <c r="I752" s="124"/>
      <c r="J752" s="122"/>
      <c r="K752" s="122"/>
      <c r="L752" s="122"/>
      <c r="M752" s="2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2.75" customHeight="1" x14ac:dyDescent="0.25">
      <c r="A753" s="2"/>
      <c r="B753" s="2"/>
      <c r="C753" s="2"/>
      <c r="D753" s="2"/>
      <c r="E753" s="25"/>
      <c r="F753" s="26"/>
      <c r="G753" s="2"/>
      <c r="H753" s="2"/>
      <c r="I753" s="124"/>
      <c r="J753" s="122"/>
      <c r="K753" s="122"/>
      <c r="L753" s="122"/>
      <c r="M753" s="2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2.75" customHeight="1" x14ac:dyDescent="0.25">
      <c r="A754" s="2"/>
      <c r="B754" s="2"/>
      <c r="C754" s="2"/>
      <c r="D754" s="2"/>
      <c r="E754" s="25"/>
      <c r="F754" s="26"/>
      <c r="G754" s="2"/>
      <c r="H754" s="2"/>
      <c r="I754" s="124"/>
      <c r="J754" s="122"/>
      <c r="K754" s="122"/>
      <c r="L754" s="122"/>
      <c r="M754" s="2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2.75" customHeight="1" x14ac:dyDescent="0.25">
      <c r="A755" s="2"/>
      <c r="B755" s="2"/>
      <c r="C755" s="2"/>
      <c r="D755" s="2"/>
      <c r="E755" s="25"/>
      <c r="F755" s="26"/>
      <c r="G755" s="2"/>
      <c r="H755" s="2"/>
      <c r="I755" s="124"/>
      <c r="J755" s="122"/>
      <c r="K755" s="122"/>
      <c r="L755" s="122"/>
      <c r="M755" s="2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2.75" customHeight="1" x14ac:dyDescent="0.25">
      <c r="A756" s="2"/>
      <c r="B756" s="2"/>
      <c r="C756" s="2"/>
      <c r="D756" s="2"/>
      <c r="E756" s="25"/>
      <c r="F756" s="26"/>
      <c r="G756" s="2"/>
      <c r="H756" s="2"/>
      <c r="I756" s="124"/>
      <c r="J756" s="122"/>
      <c r="K756" s="122"/>
      <c r="L756" s="122"/>
      <c r="M756" s="2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2.75" customHeight="1" x14ac:dyDescent="0.25">
      <c r="A757" s="2"/>
      <c r="B757" s="2"/>
      <c r="C757" s="2"/>
      <c r="D757" s="2"/>
      <c r="E757" s="25"/>
      <c r="F757" s="26"/>
      <c r="G757" s="2"/>
      <c r="H757" s="2"/>
      <c r="I757" s="124"/>
      <c r="J757" s="122"/>
      <c r="K757" s="122"/>
      <c r="L757" s="122"/>
      <c r="M757" s="2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2.75" customHeight="1" x14ac:dyDescent="0.25">
      <c r="A758" s="2"/>
      <c r="B758" s="2"/>
      <c r="C758" s="2"/>
      <c r="D758" s="2"/>
      <c r="E758" s="25"/>
      <c r="F758" s="26"/>
      <c r="G758" s="2"/>
      <c r="H758" s="2"/>
      <c r="I758" s="124"/>
      <c r="J758" s="122"/>
      <c r="K758" s="122"/>
      <c r="L758" s="122"/>
      <c r="M758" s="2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2.75" customHeight="1" x14ac:dyDescent="0.25">
      <c r="A759" s="2"/>
      <c r="B759" s="2"/>
      <c r="C759" s="2"/>
      <c r="D759" s="2"/>
      <c r="E759" s="25"/>
      <c r="F759" s="26"/>
      <c r="G759" s="2"/>
      <c r="H759" s="2"/>
      <c r="I759" s="124"/>
      <c r="J759" s="122"/>
      <c r="K759" s="122"/>
      <c r="L759" s="122"/>
      <c r="M759" s="2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2.75" customHeight="1" x14ac:dyDescent="0.25">
      <c r="A760" s="2"/>
      <c r="B760" s="2"/>
      <c r="C760" s="2"/>
      <c r="D760" s="2"/>
      <c r="E760" s="25"/>
      <c r="F760" s="26"/>
      <c r="G760" s="2"/>
      <c r="H760" s="2"/>
      <c r="I760" s="124"/>
      <c r="J760" s="122"/>
      <c r="K760" s="122"/>
      <c r="L760" s="122"/>
      <c r="M760" s="2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2.75" customHeight="1" x14ac:dyDescent="0.25">
      <c r="A761" s="2"/>
      <c r="B761" s="2"/>
      <c r="C761" s="2"/>
      <c r="D761" s="2"/>
      <c r="E761" s="25"/>
      <c r="F761" s="26"/>
      <c r="G761" s="2"/>
      <c r="H761" s="2"/>
      <c r="I761" s="124"/>
      <c r="J761" s="122"/>
      <c r="K761" s="122"/>
      <c r="L761" s="122"/>
      <c r="M761" s="2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2.75" customHeight="1" x14ac:dyDescent="0.25">
      <c r="A762" s="2"/>
      <c r="B762" s="2"/>
      <c r="C762" s="2"/>
      <c r="D762" s="2"/>
      <c r="E762" s="25"/>
      <c r="F762" s="26"/>
      <c r="G762" s="2"/>
      <c r="H762" s="2"/>
      <c r="I762" s="124"/>
      <c r="J762" s="122"/>
      <c r="K762" s="122"/>
      <c r="L762" s="122"/>
      <c r="M762" s="2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2.75" customHeight="1" x14ac:dyDescent="0.25">
      <c r="A763" s="2"/>
      <c r="B763" s="2"/>
      <c r="C763" s="2"/>
      <c r="D763" s="2"/>
      <c r="E763" s="25"/>
      <c r="F763" s="26"/>
      <c r="G763" s="2"/>
      <c r="H763" s="2"/>
      <c r="I763" s="124"/>
      <c r="J763" s="122"/>
      <c r="K763" s="122"/>
      <c r="L763" s="122"/>
      <c r="M763" s="2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2.75" customHeight="1" x14ac:dyDescent="0.25">
      <c r="A764" s="2"/>
      <c r="B764" s="2"/>
      <c r="C764" s="2"/>
      <c r="D764" s="2"/>
      <c r="E764" s="25"/>
      <c r="F764" s="26"/>
      <c r="G764" s="2"/>
      <c r="H764" s="2"/>
      <c r="I764" s="124"/>
      <c r="J764" s="122"/>
      <c r="K764" s="122"/>
      <c r="L764" s="122"/>
      <c r="M764" s="2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2.75" customHeight="1" x14ac:dyDescent="0.25">
      <c r="A765" s="2"/>
      <c r="B765" s="2"/>
      <c r="C765" s="2"/>
      <c r="D765" s="2"/>
      <c r="E765" s="25"/>
      <c r="F765" s="26"/>
      <c r="G765" s="2"/>
      <c r="H765" s="2"/>
      <c r="I765" s="124"/>
      <c r="J765" s="122"/>
      <c r="K765" s="122"/>
      <c r="L765" s="122"/>
      <c r="M765" s="2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2.75" customHeight="1" x14ac:dyDescent="0.25">
      <c r="A766" s="2"/>
      <c r="B766" s="2"/>
      <c r="C766" s="2"/>
      <c r="D766" s="2"/>
      <c r="E766" s="25"/>
      <c r="F766" s="26"/>
      <c r="G766" s="2"/>
      <c r="H766" s="2"/>
      <c r="I766" s="124"/>
      <c r="J766" s="122"/>
      <c r="K766" s="122"/>
      <c r="L766" s="122"/>
      <c r="M766" s="2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2.75" customHeight="1" x14ac:dyDescent="0.25">
      <c r="A767" s="2"/>
      <c r="B767" s="2"/>
      <c r="C767" s="2"/>
      <c r="D767" s="2"/>
      <c r="E767" s="25"/>
      <c r="F767" s="26"/>
      <c r="G767" s="2"/>
      <c r="H767" s="2"/>
      <c r="I767" s="124"/>
      <c r="J767" s="122"/>
      <c r="K767" s="122"/>
      <c r="L767" s="122"/>
      <c r="M767" s="2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2.75" customHeight="1" x14ac:dyDescent="0.25">
      <c r="A768" s="2"/>
      <c r="B768" s="2"/>
      <c r="C768" s="2"/>
      <c r="D768" s="2"/>
      <c r="E768" s="25"/>
      <c r="F768" s="26"/>
      <c r="G768" s="2"/>
      <c r="H768" s="2"/>
      <c r="I768" s="124"/>
      <c r="J768" s="122"/>
      <c r="K768" s="122"/>
      <c r="L768" s="122"/>
      <c r="M768" s="2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2.75" customHeight="1" x14ac:dyDescent="0.25">
      <c r="A769" s="2"/>
      <c r="B769" s="2"/>
      <c r="C769" s="2"/>
      <c r="D769" s="2"/>
      <c r="E769" s="25"/>
      <c r="F769" s="26"/>
      <c r="G769" s="2"/>
      <c r="H769" s="2"/>
      <c r="I769" s="124"/>
      <c r="J769" s="122"/>
      <c r="K769" s="122"/>
      <c r="L769" s="122"/>
      <c r="M769" s="2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2.75" customHeight="1" x14ac:dyDescent="0.25">
      <c r="A770" s="2"/>
      <c r="B770" s="2"/>
      <c r="C770" s="2"/>
      <c r="D770" s="2"/>
      <c r="E770" s="25"/>
      <c r="F770" s="26"/>
      <c r="G770" s="2"/>
      <c r="H770" s="2"/>
      <c r="I770" s="124"/>
      <c r="J770" s="122"/>
      <c r="K770" s="122"/>
      <c r="L770" s="122"/>
      <c r="M770" s="2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2.75" customHeight="1" x14ac:dyDescent="0.25">
      <c r="A771" s="2"/>
      <c r="B771" s="2"/>
      <c r="C771" s="2"/>
      <c r="D771" s="2"/>
      <c r="E771" s="25"/>
      <c r="F771" s="26"/>
      <c r="G771" s="2"/>
      <c r="H771" s="2"/>
      <c r="I771" s="124"/>
      <c r="J771" s="122"/>
      <c r="K771" s="122"/>
      <c r="L771" s="122"/>
      <c r="M771" s="2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2.75" customHeight="1" x14ac:dyDescent="0.25">
      <c r="A772" s="2"/>
      <c r="B772" s="2"/>
      <c r="C772" s="2"/>
      <c r="D772" s="2"/>
      <c r="E772" s="25"/>
      <c r="F772" s="26"/>
      <c r="G772" s="2"/>
      <c r="H772" s="2"/>
      <c r="I772" s="124"/>
      <c r="J772" s="122"/>
      <c r="K772" s="122"/>
      <c r="L772" s="122"/>
      <c r="M772" s="2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2.75" customHeight="1" x14ac:dyDescent="0.25">
      <c r="A773" s="2"/>
      <c r="B773" s="2"/>
      <c r="C773" s="2"/>
      <c r="D773" s="2"/>
      <c r="E773" s="25"/>
      <c r="F773" s="26"/>
      <c r="G773" s="2"/>
      <c r="H773" s="2"/>
      <c r="I773" s="124"/>
      <c r="J773" s="122"/>
      <c r="K773" s="122"/>
      <c r="L773" s="122"/>
      <c r="M773" s="2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2.75" customHeight="1" x14ac:dyDescent="0.25">
      <c r="A774" s="2"/>
      <c r="B774" s="2"/>
      <c r="C774" s="2"/>
      <c r="D774" s="2"/>
      <c r="E774" s="25"/>
      <c r="F774" s="26"/>
      <c r="G774" s="2"/>
      <c r="H774" s="2"/>
      <c r="I774" s="124"/>
      <c r="J774" s="122"/>
      <c r="K774" s="122"/>
      <c r="L774" s="122"/>
      <c r="M774" s="2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2.75" customHeight="1" x14ac:dyDescent="0.25">
      <c r="A775" s="2"/>
      <c r="B775" s="2"/>
      <c r="C775" s="2"/>
      <c r="D775" s="2"/>
      <c r="E775" s="25"/>
      <c r="F775" s="26"/>
      <c r="G775" s="2"/>
      <c r="H775" s="2"/>
      <c r="I775" s="124"/>
      <c r="J775" s="122"/>
      <c r="K775" s="122"/>
      <c r="L775" s="122"/>
      <c r="M775" s="2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2.75" customHeight="1" x14ac:dyDescent="0.25">
      <c r="A776" s="2"/>
      <c r="B776" s="2"/>
      <c r="C776" s="2"/>
      <c r="D776" s="2"/>
      <c r="E776" s="25"/>
      <c r="F776" s="26"/>
      <c r="G776" s="2"/>
      <c r="H776" s="2"/>
      <c r="I776" s="124"/>
      <c r="J776" s="122"/>
      <c r="K776" s="122"/>
      <c r="L776" s="122"/>
      <c r="M776" s="2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2.75" customHeight="1" x14ac:dyDescent="0.25">
      <c r="A777" s="2"/>
      <c r="B777" s="2"/>
      <c r="C777" s="2"/>
      <c r="D777" s="2"/>
      <c r="E777" s="25"/>
      <c r="F777" s="26"/>
      <c r="G777" s="2"/>
      <c r="H777" s="2"/>
      <c r="I777" s="124"/>
      <c r="J777" s="122"/>
      <c r="K777" s="122"/>
      <c r="L777" s="122"/>
      <c r="M777" s="2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2.75" customHeight="1" x14ac:dyDescent="0.25">
      <c r="A778" s="2"/>
      <c r="B778" s="2"/>
      <c r="C778" s="2"/>
      <c r="D778" s="2"/>
      <c r="E778" s="25"/>
      <c r="F778" s="26"/>
      <c r="G778" s="2"/>
      <c r="H778" s="2"/>
      <c r="I778" s="124"/>
      <c r="J778" s="122"/>
      <c r="K778" s="122"/>
      <c r="L778" s="122"/>
      <c r="M778" s="2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2.75" customHeight="1" x14ac:dyDescent="0.25">
      <c r="A779" s="2"/>
      <c r="B779" s="2"/>
      <c r="C779" s="2"/>
      <c r="D779" s="2"/>
      <c r="E779" s="25"/>
      <c r="F779" s="26"/>
      <c r="G779" s="2"/>
      <c r="H779" s="2"/>
      <c r="I779" s="124"/>
      <c r="J779" s="122"/>
      <c r="K779" s="122"/>
      <c r="L779" s="122"/>
      <c r="M779" s="2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2.75" customHeight="1" x14ac:dyDescent="0.25">
      <c r="A780" s="2"/>
      <c r="B780" s="2"/>
      <c r="C780" s="2"/>
      <c r="D780" s="2"/>
      <c r="E780" s="25"/>
      <c r="F780" s="26"/>
      <c r="G780" s="2"/>
      <c r="H780" s="2"/>
      <c r="I780" s="124"/>
      <c r="J780" s="122"/>
      <c r="K780" s="122"/>
      <c r="L780" s="122"/>
      <c r="M780" s="2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2.75" customHeight="1" x14ac:dyDescent="0.25">
      <c r="A781" s="2"/>
      <c r="B781" s="2"/>
      <c r="C781" s="2"/>
      <c r="D781" s="2"/>
      <c r="E781" s="25"/>
      <c r="F781" s="26"/>
      <c r="G781" s="2"/>
      <c r="H781" s="2"/>
      <c r="I781" s="124"/>
      <c r="J781" s="122"/>
      <c r="K781" s="122"/>
      <c r="L781" s="122"/>
      <c r="M781" s="2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2.75" customHeight="1" x14ac:dyDescent="0.25">
      <c r="A782" s="2"/>
      <c r="B782" s="2"/>
      <c r="C782" s="2"/>
      <c r="D782" s="2"/>
      <c r="E782" s="25"/>
      <c r="F782" s="26"/>
      <c r="G782" s="2"/>
      <c r="H782" s="2"/>
      <c r="I782" s="124"/>
      <c r="J782" s="122"/>
      <c r="K782" s="122"/>
      <c r="L782" s="122"/>
      <c r="M782" s="2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2.75" customHeight="1" x14ac:dyDescent="0.25">
      <c r="A783" s="2"/>
      <c r="B783" s="2"/>
      <c r="C783" s="2"/>
      <c r="D783" s="2"/>
      <c r="E783" s="25"/>
      <c r="F783" s="26"/>
      <c r="G783" s="2"/>
      <c r="H783" s="2"/>
      <c r="I783" s="124"/>
      <c r="J783" s="122"/>
      <c r="K783" s="122"/>
      <c r="L783" s="122"/>
      <c r="M783" s="2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2.75" customHeight="1" x14ac:dyDescent="0.25">
      <c r="A784" s="2"/>
      <c r="B784" s="2"/>
      <c r="C784" s="2"/>
      <c r="D784" s="2"/>
      <c r="E784" s="25"/>
      <c r="F784" s="26"/>
      <c r="G784" s="2"/>
      <c r="H784" s="2"/>
      <c r="I784" s="124"/>
      <c r="J784" s="122"/>
      <c r="K784" s="122"/>
      <c r="L784" s="122"/>
      <c r="M784" s="2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2.75" customHeight="1" x14ac:dyDescent="0.25">
      <c r="A785" s="2"/>
      <c r="B785" s="2"/>
      <c r="C785" s="2"/>
      <c r="D785" s="2"/>
      <c r="E785" s="25"/>
      <c r="F785" s="26"/>
      <c r="G785" s="2"/>
      <c r="H785" s="2"/>
      <c r="I785" s="124"/>
      <c r="J785" s="122"/>
      <c r="K785" s="122"/>
      <c r="L785" s="122"/>
      <c r="M785" s="2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2.75" customHeight="1" x14ac:dyDescent="0.25">
      <c r="A786" s="2"/>
      <c r="B786" s="2"/>
      <c r="C786" s="2"/>
      <c r="D786" s="2"/>
      <c r="E786" s="25"/>
      <c r="F786" s="26"/>
      <c r="G786" s="2"/>
      <c r="H786" s="2"/>
      <c r="I786" s="124"/>
      <c r="J786" s="122"/>
      <c r="K786" s="122"/>
      <c r="L786" s="122"/>
      <c r="M786" s="2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2.75" customHeight="1" x14ac:dyDescent="0.25">
      <c r="A787" s="2"/>
      <c r="B787" s="2"/>
      <c r="C787" s="2"/>
      <c r="D787" s="2"/>
      <c r="E787" s="25"/>
      <c r="F787" s="26"/>
      <c r="G787" s="2"/>
      <c r="H787" s="2"/>
      <c r="I787" s="124"/>
      <c r="J787" s="122"/>
      <c r="K787" s="122"/>
      <c r="L787" s="122"/>
      <c r="M787" s="2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2.75" customHeight="1" x14ac:dyDescent="0.25">
      <c r="A788" s="2"/>
      <c r="B788" s="2"/>
      <c r="C788" s="2"/>
      <c r="D788" s="2"/>
      <c r="E788" s="25"/>
      <c r="F788" s="26"/>
      <c r="G788" s="2"/>
      <c r="H788" s="2"/>
      <c r="I788" s="124"/>
      <c r="J788" s="122"/>
      <c r="K788" s="122"/>
      <c r="L788" s="122"/>
      <c r="M788" s="2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2.75" customHeight="1" x14ac:dyDescent="0.25">
      <c r="A789" s="2"/>
      <c r="B789" s="2"/>
      <c r="C789" s="2"/>
      <c r="D789" s="2"/>
      <c r="E789" s="25"/>
      <c r="F789" s="26"/>
      <c r="G789" s="2"/>
      <c r="H789" s="2"/>
      <c r="I789" s="124"/>
      <c r="J789" s="122"/>
      <c r="K789" s="122"/>
      <c r="L789" s="122"/>
      <c r="M789" s="2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2.75" customHeight="1" x14ac:dyDescent="0.25">
      <c r="A790" s="2"/>
      <c r="B790" s="2"/>
      <c r="C790" s="2"/>
      <c r="D790" s="2"/>
      <c r="E790" s="25"/>
      <c r="F790" s="26"/>
      <c r="G790" s="2"/>
      <c r="H790" s="2"/>
      <c r="I790" s="124"/>
      <c r="J790" s="122"/>
      <c r="K790" s="122"/>
      <c r="L790" s="122"/>
      <c r="M790" s="2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2.75" customHeight="1" x14ac:dyDescent="0.25">
      <c r="A791" s="2"/>
      <c r="B791" s="2"/>
      <c r="C791" s="2"/>
      <c r="D791" s="2"/>
      <c r="E791" s="25"/>
      <c r="F791" s="26"/>
      <c r="G791" s="2"/>
      <c r="H791" s="2"/>
      <c r="I791" s="124"/>
      <c r="J791" s="122"/>
      <c r="K791" s="122"/>
      <c r="L791" s="122"/>
      <c r="M791" s="2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2.75" customHeight="1" x14ac:dyDescent="0.25">
      <c r="A792" s="2"/>
      <c r="B792" s="2"/>
      <c r="C792" s="2"/>
      <c r="D792" s="2"/>
      <c r="E792" s="25"/>
      <c r="F792" s="26"/>
      <c r="G792" s="2"/>
      <c r="H792" s="2"/>
      <c r="I792" s="124"/>
      <c r="J792" s="122"/>
      <c r="K792" s="122"/>
      <c r="L792" s="122"/>
      <c r="M792" s="2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2.75" customHeight="1" x14ac:dyDescent="0.25">
      <c r="A793" s="2"/>
      <c r="B793" s="2"/>
      <c r="C793" s="2"/>
      <c r="D793" s="2"/>
      <c r="E793" s="25"/>
      <c r="F793" s="26"/>
      <c r="G793" s="2"/>
      <c r="H793" s="2"/>
      <c r="I793" s="124"/>
      <c r="J793" s="122"/>
      <c r="K793" s="122"/>
      <c r="L793" s="122"/>
      <c r="M793" s="2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2.75" customHeight="1" x14ac:dyDescent="0.25">
      <c r="A794" s="2"/>
      <c r="B794" s="2"/>
      <c r="C794" s="2"/>
      <c r="D794" s="2"/>
      <c r="E794" s="25"/>
      <c r="F794" s="26"/>
      <c r="G794" s="2"/>
      <c r="H794" s="2"/>
      <c r="I794" s="124"/>
      <c r="J794" s="122"/>
      <c r="K794" s="122"/>
      <c r="L794" s="122"/>
      <c r="M794" s="2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2.75" customHeight="1" x14ac:dyDescent="0.25">
      <c r="A795" s="2"/>
      <c r="B795" s="2"/>
      <c r="C795" s="2"/>
      <c r="D795" s="2"/>
      <c r="E795" s="25"/>
      <c r="F795" s="26"/>
      <c r="G795" s="2"/>
      <c r="H795" s="2"/>
      <c r="I795" s="124"/>
      <c r="J795" s="122"/>
      <c r="K795" s="122"/>
      <c r="L795" s="122"/>
      <c r="M795" s="2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2.75" customHeight="1" x14ac:dyDescent="0.25">
      <c r="A796" s="2"/>
      <c r="B796" s="2"/>
      <c r="C796" s="2"/>
      <c r="D796" s="2"/>
      <c r="E796" s="25"/>
      <c r="F796" s="26"/>
      <c r="G796" s="2"/>
      <c r="H796" s="2"/>
      <c r="I796" s="124"/>
      <c r="J796" s="122"/>
      <c r="K796" s="122"/>
      <c r="L796" s="122"/>
      <c r="M796" s="2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2.75" customHeight="1" x14ac:dyDescent="0.25">
      <c r="A797" s="2"/>
      <c r="B797" s="2"/>
      <c r="C797" s="2"/>
      <c r="D797" s="2"/>
      <c r="E797" s="25"/>
      <c r="F797" s="26"/>
      <c r="G797" s="2"/>
      <c r="H797" s="2"/>
      <c r="I797" s="124"/>
      <c r="J797" s="122"/>
      <c r="K797" s="122"/>
      <c r="L797" s="122"/>
      <c r="M797" s="2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2.75" customHeight="1" x14ac:dyDescent="0.25">
      <c r="A798" s="2"/>
      <c r="B798" s="2"/>
      <c r="C798" s="2"/>
      <c r="D798" s="2"/>
      <c r="E798" s="25"/>
      <c r="F798" s="26"/>
      <c r="G798" s="2"/>
      <c r="H798" s="2"/>
      <c r="I798" s="124"/>
      <c r="J798" s="122"/>
      <c r="K798" s="122"/>
      <c r="L798" s="122"/>
      <c r="M798" s="2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2.75" customHeight="1" x14ac:dyDescent="0.25">
      <c r="A799" s="2"/>
      <c r="B799" s="2"/>
      <c r="C799" s="2"/>
      <c r="D799" s="2"/>
      <c r="E799" s="25"/>
      <c r="F799" s="26"/>
      <c r="G799" s="2"/>
      <c r="H799" s="2"/>
      <c r="I799" s="124"/>
      <c r="J799" s="122"/>
      <c r="K799" s="122"/>
      <c r="L799" s="122"/>
      <c r="M799" s="2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2.75" customHeight="1" x14ac:dyDescent="0.25">
      <c r="A800" s="2"/>
      <c r="B800" s="2"/>
      <c r="C800" s="2"/>
      <c r="D800" s="2"/>
      <c r="E800" s="25"/>
      <c r="F800" s="26"/>
      <c r="G800" s="2"/>
      <c r="H800" s="2"/>
      <c r="I800" s="124"/>
      <c r="J800" s="122"/>
      <c r="K800" s="122"/>
      <c r="L800" s="122"/>
      <c r="M800" s="2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2.75" customHeight="1" x14ac:dyDescent="0.25">
      <c r="A801" s="2"/>
      <c r="B801" s="2"/>
      <c r="C801" s="2"/>
      <c r="D801" s="2"/>
      <c r="E801" s="25"/>
      <c r="F801" s="26"/>
      <c r="G801" s="2"/>
      <c r="H801" s="2"/>
      <c r="I801" s="124"/>
      <c r="J801" s="122"/>
      <c r="K801" s="122"/>
      <c r="L801" s="122"/>
      <c r="M801" s="2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2.75" customHeight="1" x14ac:dyDescent="0.25">
      <c r="A802" s="2"/>
      <c r="B802" s="2"/>
      <c r="C802" s="2"/>
      <c r="D802" s="2"/>
      <c r="E802" s="25"/>
      <c r="F802" s="26"/>
      <c r="G802" s="2"/>
      <c r="H802" s="2"/>
      <c r="I802" s="124"/>
      <c r="J802" s="122"/>
      <c r="K802" s="122"/>
      <c r="L802" s="122"/>
      <c r="M802" s="2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2.75" customHeight="1" x14ac:dyDescent="0.25">
      <c r="A803" s="2"/>
      <c r="B803" s="2"/>
      <c r="C803" s="2"/>
      <c r="D803" s="2"/>
      <c r="E803" s="25"/>
      <c r="F803" s="26"/>
      <c r="G803" s="2"/>
      <c r="H803" s="2"/>
      <c r="I803" s="124"/>
      <c r="J803" s="122"/>
      <c r="K803" s="122"/>
      <c r="L803" s="122"/>
      <c r="M803" s="2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2.75" customHeight="1" x14ac:dyDescent="0.25">
      <c r="A804" s="2"/>
      <c r="B804" s="2"/>
      <c r="C804" s="2"/>
      <c r="D804" s="2"/>
      <c r="E804" s="25"/>
      <c r="F804" s="26"/>
      <c r="G804" s="2"/>
      <c r="H804" s="2"/>
      <c r="I804" s="124"/>
      <c r="J804" s="122"/>
      <c r="K804" s="122"/>
      <c r="L804" s="122"/>
      <c r="M804" s="2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2.75" customHeight="1" x14ac:dyDescent="0.25">
      <c r="A805" s="2"/>
      <c r="B805" s="2"/>
      <c r="C805" s="2"/>
      <c r="D805" s="2"/>
      <c r="E805" s="25"/>
      <c r="F805" s="26"/>
      <c r="G805" s="2"/>
      <c r="H805" s="2"/>
      <c r="I805" s="124"/>
      <c r="J805" s="122"/>
      <c r="K805" s="122"/>
      <c r="L805" s="122"/>
      <c r="M805" s="2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2.75" customHeight="1" x14ac:dyDescent="0.25">
      <c r="A806" s="2"/>
      <c r="B806" s="2"/>
      <c r="C806" s="2"/>
      <c r="D806" s="2"/>
      <c r="E806" s="25"/>
      <c r="F806" s="26"/>
      <c r="G806" s="2"/>
      <c r="H806" s="2"/>
      <c r="I806" s="124"/>
      <c r="J806" s="122"/>
      <c r="K806" s="122"/>
      <c r="L806" s="122"/>
      <c r="M806" s="2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2.75" customHeight="1" x14ac:dyDescent="0.25">
      <c r="A807" s="2"/>
      <c r="B807" s="2"/>
      <c r="C807" s="2"/>
      <c r="D807" s="2"/>
      <c r="E807" s="25"/>
      <c r="F807" s="26"/>
      <c r="G807" s="2"/>
      <c r="H807" s="2"/>
      <c r="I807" s="124"/>
      <c r="J807" s="122"/>
      <c r="K807" s="122"/>
      <c r="L807" s="122"/>
      <c r="M807" s="2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2.75" customHeight="1" x14ac:dyDescent="0.25">
      <c r="A808" s="2"/>
      <c r="B808" s="2"/>
      <c r="C808" s="2"/>
      <c r="D808" s="2"/>
      <c r="E808" s="25"/>
      <c r="F808" s="26"/>
      <c r="G808" s="2"/>
      <c r="H808" s="2"/>
      <c r="I808" s="124"/>
      <c r="J808" s="122"/>
      <c r="K808" s="122"/>
      <c r="L808" s="122"/>
      <c r="M808" s="2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2.75" customHeight="1" x14ac:dyDescent="0.25">
      <c r="A809" s="2"/>
      <c r="B809" s="2"/>
      <c r="C809" s="2"/>
      <c r="D809" s="2"/>
      <c r="E809" s="25"/>
      <c r="F809" s="26"/>
      <c r="G809" s="2"/>
      <c r="H809" s="2"/>
      <c r="I809" s="124"/>
      <c r="J809" s="122"/>
      <c r="K809" s="122"/>
      <c r="L809" s="122"/>
      <c r="M809" s="2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2.75" customHeight="1" x14ac:dyDescent="0.25">
      <c r="A810" s="2"/>
      <c r="B810" s="2"/>
      <c r="C810" s="2"/>
      <c r="D810" s="2"/>
      <c r="E810" s="25"/>
      <c r="F810" s="26"/>
      <c r="G810" s="2"/>
      <c r="H810" s="2"/>
      <c r="I810" s="124"/>
      <c r="J810" s="122"/>
      <c r="K810" s="122"/>
      <c r="L810" s="122"/>
      <c r="M810" s="2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2.75" customHeight="1" x14ac:dyDescent="0.25">
      <c r="A811" s="2"/>
      <c r="B811" s="2"/>
      <c r="C811" s="2"/>
      <c r="D811" s="2"/>
      <c r="E811" s="25"/>
      <c r="F811" s="26"/>
      <c r="G811" s="2"/>
      <c r="H811" s="2"/>
      <c r="I811" s="124"/>
      <c r="J811" s="122"/>
      <c r="K811" s="122"/>
      <c r="L811" s="122"/>
      <c r="M811" s="2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2.75" customHeight="1" x14ac:dyDescent="0.25">
      <c r="A812" s="2"/>
      <c r="B812" s="2"/>
      <c r="C812" s="2"/>
      <c r="D812" s="2"/>
      <c r="E812" s="25"/>
      <c r="F812" s="26"/>
      <c r="G812" s="2"/>
      <c r="H812" s="2"/>
      <c r="I812" s="124"/>
      <c r="J812" s="122"/>
      <c r="K812" s="122"/>
      <c r="L812" s="122"/>
      <c r="M812" s="2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2.75" customHeight="1" x14ac:dyDescent="0.25">
      <c r="A813" s="2"/>
      <c r="B813" s="2"/>
      <c r="C813" s="2"/>
      <c r="D813" s="2"/>
      <c r="E813" s="25"/>
      <c r="F813" s="26"/>
      <c r="G813" s="2"/>
      <c r="H813" s="2"/>
      <c r="I813" s="124"/>
      <c r="J813" s="122"/>
      <c r="K813" s="122"/>
      <c r="L813" s="122"/>
      <c r="M813" s="2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2.75" customHeight="1" x14ac:dyDescent="0.25">
      <c r="A814" s="2"/>
      <c r="B814" s="2"/>
      <c r="C814" s="2"/>
      <c r="D814" s="2"/>
      <c r="E814" s="25"/>
      <c r="F814" s="26"/>
      <c r="G814" s="2"/>
      <c r="H814" s="2"/>
      <c r="I814" s="124"/>
      <c r="J814" s="122"/>
      <c r="K814" s="122"/>
      <c r="L814" s="122"/>
      <c r="M814" s="2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2.75" customHeight="1" x14ac:dyDescent="0.25">
      <c r="A815" s="2"/>
      <c r="B815" s="2"/>
      <c r="C815" s="2"/>
      <c r="D815" s="2"/>
      <c r="E815" s="25"/>
      <c r="F815" s="26"/>
      <c r="G815" s="2"/>
      <c r="H815" s="2"/>
      <c r="I815" s="124"/>
      <c r="J815" s="122"/>
      <c r="K815" s="122"/>
      <c r="L815" s="122"/>
      <c r="M815" s="2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2.75" customHeight="1" x14ac:dyDescent="0.25">
      <c r="A816" s="2"/>
      <c r="B816" s="2"/>
      <c r="C816" s="2"/>
      <c r="D816" s="2"/>
      <c r="E816" s="25"/>
      <c r="F816" s="26"/>
      <c r="G816" s="2"/>
      <c r="H816" s="2"/>
      <c r="I816" s="124"/>
      <c r="J816" s="122"/>
      <c r="K816" s="122"/>
      <c r="L816" s="122"/>
      <c r="M816" s="2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2.75" customHeight="1" x14ac:dyDescent="0.25">
      <c r="A817" s="2"/>
      <c r="B817" s="2"/>
      <c r="C817" s="2"/>
      <c r="D817" s="2"/>
      <c r="E817" s="25"/>
      <c r="F817" s="26"/>
      <c r="G817" s="2"/>
      <c r="H817" s="2"/>
      <c r="I817" s="124"/>
      <c r="J817" s="122"/>
      <c r="K817" s="122"/>
      <c r="L817" s="122"/>
      <c r="M817" s="2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2.75" customHeight="1" x14ac:dyDescent="0.25">
      <c r="A818" s="2"/>
      <c r="B818" s="2"/>
      <c r="C818" s="2"/>
      <c r="D818" s="2"/>
      <c r="E818" s="25"/>
      <c r="F818" s="26"/>
      <c r="G818" s="2"/>
      <c r="H818" s="2"/>
      <c r="I818" s="124"/>
      <c r="J818" s="122"/>
      <c r="K818" s="122"/>
      <c r="L818" s="122"/>
      <c r="M818" s="2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2.75" customHeight="1" x14ac:dyDescent="0.25">
      <c r="A819" s="2"/>
      <c r="B819" s="2"/>
      <c r="C819" s="2"/>
      <c r="D819" s="2"/>
      <c r="E819" s="25"/>
      <c r="F819" s="26"/>
      <c r="G819" s="2"/>
      <c r="H819" s="2"/>
      <c r="I819" s="124"/>
      <c r="J819" s="122"/>
      <c r="K819" s="122"/>
      <c r="L819" s="122"/>
      <c r="M819" s="2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2.75" customHeight="1" x14ac:dyDescent="0.25">
      <c r="A820" s="2"/>
      <c r="B820" s="2"/>
      <c r="C820" s="2"/>
      <c r="D820" s="2"/>
      <c r="E820" s="25"/>
      <c r="F820" s="26"/>
      <c r="G820" s="2"/>
      <c r="H820" s="2"/>
      <c r="I820" s="124"/>
      <c r="J820" s="122"/>
      <c r="K820" s="122"/>
      <c r="L820" s="122"/>
      <c r="M820" s="2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2.75" customHeight="1" x14ac:dyDescent="0.25">
      <c r="A821" s="2"/>
      <c r="B821" s="2"/>
      <c r="C821" s="2"/>
      <c r="D821" s="2"/>
      <c r="E821" s="25"/>
      <c r="F821" s="26"/>
      <c r="G821" s="2"/>
      <c r="H821" s="2"/>
      <c r="I821" s="124"/>
      <c r="J821" s="122"/>
      <c r="K821" s="122"/>
      <c r="L821" s="122"/>
      <c r="M821" s="2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2.75" customHeight="1" x14ac:dyDescent="0.25">
      <c r="A822" s="2"/>
      <c r="B822" s="2"/>
      <c r="C822" s="2"/>
      <c r="D822" s="2"/>
      <c r="E822" s="25"/>
      <c r="F822" s="26"/>
      <c r="G822" s="2"/>
      <c r="H822" s="2"/>
      <c r="I822" s="124"/>
      <c r="J822" s="122"/>
      <c r="K822" s="122"/>
      <c r="L822" s="122"/>
      <c r="M822" s="2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2.75" customHeight="1" x14ac:dyDescent="0.25">
      <c r="A823" s="2"/>
      <c r="B823" s="2"/>
      <c r="C823" s="2"/>
      <c r="D823" s="2"/>
      <c r="E823" s="25"/>
      <c r="F823" s="26"/>
      <c r="G823" s="2"/>
      <c r="H823" s="2"/>
      <c r="I823" s="124"/>
      <c r="J823" s="122"/>
      <c r="K823" s="122"/>
      <c r="L823" s="122"/>
      <c r="M823" s="2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2.75" customHeight="1" x14ac:dyDescent="0.25">
      <c r="A824" s="2"/>
      <c r="B824" s="2"/>
      <c r="C824" s="2"/>
      <c r="D824" s="2"/>
      <c r="E824" s="25"/>
      <c r="F824" s="26"/>
      <c r="G824" s="2"/>
      <c r="H824" s="2"/>
      <c r="I824" s="124"/>
      <c r="J824" s="122"/>
      <c r="K824" s="122"/>
      <c r="L824" s="122"/>
      <c r="M824" s="2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2.75" customHeight="1" x14ac:dyDescent="0.25">
      <c r="A825" s="2"/>
      <c r="B825" s="2"/>
      <c r="C825" s="2"/>
      <c r="D825" s="2"/>
      <c r="E825" s="25"/>
      <c r="F825" s="26"/>
      <c r="G825" s="2"/>
      <c r="H825" s="2"/>
      <c r="I825" s="124"/>
      <c r="J825" s="122"/>
      <c r="K825" s="122"/>
      <c r="L825" s="122"/>
      <c r="M825" s="2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2.75" customHeight="1" x14ac:dyDescent="0.25">
      <c r="A826" s="2"/>
      <c r="B826" s="2"/>
      <c r="C826" s="2"/>
      <c r="D826" s="2"/>
      <c r="E826" s="25"/>
      <c r="F826" s="26"/>
      <c r="G826" s="2"/>
      <c r="H826" s="2"/>
      <c r="I826" s="124"/>
      <c r="J826" s="122"/>
      <c r="K826" s="122"/>
      <c r="L826" s="122"/>
      <c r="M826" s="2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2.75" customHeight="1" x14ac:dyDescent="0.25">
      <c r="A827" s="2"/>
      <c r="B827" s="2"/>
      <c r="C827" s="2"/>
      <c r="D827" s="2"/>
      <c r="E827" s="25"/>
      <c r="F827" s="26"/>
      <c r="G827" s="2"/>
      <c r="H827" s="2"/>
      <c r="I827" s="124"/>
      <c r="J827" s="122"/>
      <c r="K827" s="122"/>
      <c r="L827" s="122"/>
      <c r="M827" s="2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2.75" customHeight="1" x14ac:dyDescent="0.25">
      <c r="A828" s="2"/>
      <c r="B828" s="2"/>
      <c r="C828" s="2"/>
      <c r="D828" s="2"/>
      <c r="E828" s="25"/>
      <c r="F828" s="26"/>
      <c r="G828" s="2"/>
      <c r="H828" s="2"/>
      <c r="I828" s="124"/>
      <c r="J828" s="122"/>
      <c r="K828" s="122"/>
      <c r="L828" s="122"/>
      <c r="M828" s="2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2.75" customHeight="1" x14ac:dyDescent="0.25">
      <c r="A829" s="2"/>
      <c r="B829" s="2"/>
      <c r="C829" s="2"/>
      <c r="D829" s="2"/>
      <c r="E829" s="25"/>
      <c r="F829" s="26"/>
      <c r="G829" s="2"/>
      <c r="H829" s="2"/>
      <c r="I829" s="124"/>
      <c r="J829" s="122"/>
      <c r="K829" s="122"/>
      <c r="L829" s="122"/>
      <c r="M829" s="2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2.75" customHeight="1" x14ac:dyDescent="0.25">
      <c r="A830" s="2"/>
      <c r="B830" s="2"/>
      <c r="C830" s="2"/>
      <c r="D830" s="2"/>
      <c r="E830" s="25"/>
      <c r="F830" s="26"/>
      <c r="G830" s="2"/>
      <c r="H830" s="2"/>
      <c r="I830" s="124"/>
      <c r="J830" s="122"/>
      <c r="K830" s="122"/>
      <c r="L830" s="122"/>
      <c r="M830" s="2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2.75" customHeight="1" x14ac:dyDescent="0.25">
      <c r="A831" s="2"/>
      <c r="B831" s="2"/>
      <c r="C831" s="2"/>
      <c r="D831" s="2"/>
      <c r="E831" s="25"/>
      <c r="F831" s="26"/>
      <c r="G831" s="2"/>
      <c r="H831" s="2"/>
      <c r="I831" s="124"/>
      <c r="J831" s="122"/>
      <c r="K831" s="122"/>
      <c r="L831" s="122"/>
      <c r="M831" s="2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2.75" customHeight="1" x14ac:dyDescent="0.25">
      <c r="A832" s="2"/>
      <c r="B832" s="2"/>
      <c r="C832" s="2"/>
      <c r="D832" s="2"/>
      <c r="E832" s="25"/>
      <c r="F832" s="26"/>
      <c r="G832" s="2"/>
      <c r="H832" s="2"/>
      <c r="I832" s="124"/>
      <c r="J832" s="122"/>
      <c r="K832" s="122"/>
      <c r="L832" s="122"/>
      <c r="M832" s="2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2.75" customHeight="1" x14ac:dyDescent="0.25">
      <c r="A833" s="2"/>
      <c r="B833" s="2"/>
      <c r="C833" s="2"/>
      <c r="D833" s="2"/>
      <c r="E833" s="25"/>
      <c r="F833" s="26"/>
      <c r="G833" s="2"/>
      <c r="H833" s="2"/>
      <c r="I833" s="124"/>
      <c r="J833" s="122"/>
      <c r="K833" s="122"/>
      <c r="L833" s="122"/>
      <c r="M833" s="2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2.75" customHeight="1" x14ac:dyDescent="0.25">
      <c r="A834" s="2"/>
      <c r="B834" s="2"/>
      <c r="C834" s="2"/>
      <c r="D834" s="2"/>
      <c r="E834" s="25"/>
      <c r="F834" s="26"/>
      <c r="G834" s="2"/>
      <c r="H834" s="2"/>
      <c r="I834" s="124"/>
      <c r="J834" s="122"/>
      <c r="K834" s="122"/>
      <c r="L834" s="122"/>
      <c r="M834" s="2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2.75" customHeight="1" x14ac:dyDescent="0.25">
      <c r="A835" s="2"/>
      <c r="B835" s="2"/>
      <c r="C835" s="2"/>
      <c r="D835" s="2"/>
      <c r="E835" s="25"/>
      <c r="F835" s="26"/>
      <c r="G835" s="2"/>
      <c r="H835" s="2"/>
      <c r="I835" s="124"/>
      <c r="J835" s="122"/>
      <c r="K835" s="122"/>
      <c r="L835" s="122"/>
      <c r="M835" s="2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2.75" customHeight="1" x14ac:dyDescent="0.25">
      <c r="A836" s="2"/>
      <c r="B836" s="2"/>
      <c r="C836" s="2"/>
      <c r="D836" s="2"/>
      <c r="E836" s="25"/>
      <c r="F836" s="26"/>
      <c r="G836" s="2"/>
      <c r="H836" s="2"/>
      <c r="I836" s="124"/>
      <c r="J836" s="122"/>
      <c r="K836" s="122"/>
      <c r="L836" s="122"/>
      <c r="M836" s="2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2.75" customHeight="1" x14ac:dyDescent="0.25">
      <c r="A837" s="2"/>
      <c r="B837" s="2"/>
      <c r="C837" s="2"/>
      <c r="D837" s="2"/>
      <c r="E837" s="25"/>
      <c r="F837" s="26"/>
      <c r="G837" s="2"/>
      <c r="H837" s="2"/>
      <c r="I837" s="124"/>
      <c r="J837" s="122"/>
      <c r="K837" s="122"/>
      <c r="L837" s="122"/>
      <c r="M837" s="2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2.75" customHeight="1" x14ac:dyDescent="0.25">
      <c r="A838" s="2"/>
      <c r="B838" s="2"/>
      <c r="C838" s="2"/>
      <c r="D838" s="2"/>
      <c r="E838" s="25"/>
      <c r="F838" s="26"/>
      <c r="G838" s="2"/>
      <c r="H838" s="2"/>
      <c r="I838" s="124"/>
      <c r="J838" s="122"/>
      <c r="K838" s="122"/>
      <c r="L838" s="122"/>
      <c r="M838" s="2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2.75" customHeight="1" x14ac:dyDescent="0.25">
      <c r="A839" s="2"/>
      <c r="B839" s="2"/>
      <c r="C839" s="2"/>
      <c r="D839" s="2"/>
      <c r="E839" s="25"/>
      <c r="F839" s="26"/>
      <c r="G839" s="2"/>
      <c r="H839" s="2"/>
      <c r="I839" s="124"/>
      <c r="J839" s="122"/>
      <c r="K839" s="122"/>
      <c r="L839" s="122"/>
      <c r="M839" s="2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2.75" customHeight="1" x14ac:dyDescent="0.25">
      <c r="A840" s="2"/>
      <c r="B840" s="2"/>
      <c r="C840" s="2"/>
      <c r="D840" s="2"/>
      <c r="E840" s="25"/>
      <c r="F840" s="26"/>
      <c r="G840" s="2"/>
      <c r="H840" s="2"/>
      <c r="I840" s="124"/>
      <c r="J840" s="122"/>
      <c r="K840" s="122"/>
      <c r="L840" s="122"/>
      <c r="M840" s="2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2.75" customHeight="1" x14ac:dyDescent="0.25">
      <c r="A841" s="2"/>
      <c r="B841" s="2"/>
      <c r="C841" s="2"/>
      <c r="D841" s="2"/>
      <c r="E841" s="25"/>
      <c r="F841" s="26"/>
      <c r="G841" s="2"/>
      <c r="H841" s="2"/>
      <c r="I841" s="124"/>
      <c r="J841" s="122"/>
      <c r="K841" s="122"/>
      <c r="L841" s="122"/>
      <c r="M841" s="2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2.75" customHeight="1" x14ac:dyDescent="0.25">
      <c r="A842" s="2"/>
      <c r="B842" s="2"/>
      <c r="C842" s="2"/>
      <c r="D842" s="2"/>
      <c r="E842" s="25"/>
      <c r="F842" s="26"/>
      <c r="G842" s="2"/>
      <c r="H842" s="2"/>
      <c r="I842" s="124"/>
      <c r="J842" s="122"/>
      <c r="K842" s="122"/>
      <c r="L842" s="122"/>
      <c r="M842" s="2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2.75" customHeight="1" x14ac:dyDescent="0.25">
      <c r="A843" s="2"/>
      <c r="B843" s="2"/>
      <c r="C843" s="2"/>
      <c r="D843" s="2"/>
      <c r="E843" s="25"/>
      <c r="F843" s="26"/>
      <c r="G843" s="2"/>
      <c r="H843" s="2"/>
      <c r="I843" s="124"/>
      <c r="J843" s="122"/>
      <c r="K843" s="122"/>
      <c r="L843" s="122"/>
      <c r="M843" s="2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2.75" customHeight="1" x14ac:dyDescent="0.25">
      <c r="A844" s="2"/>
      <c r="B844" s="2"/>
      <c r="C844" s="2"/>
      <c r="D844" s="2"/>
      <c r="E844" s="25"/>
      <c r="F844" s="26"/>
      <c r="G844" s="2"/>
      <c r="H844" s="2"/>
      <c r="I844" s="124"/>
      <c r="J844" s="122"/>
      <c r="K844" s="122"/>
      <c r="L844" s="122"/>
      <c r="M844" s="2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2.75" customHeight="1" x14ac:dyDescent="0.25">
      <c r="A845" s="2"/>
      <c r="B845" s="2"/>
      <c r="C845" s="2"/>
      <c r="D845" s="2"/>
      <c r="E845" s="25"/>
      <c r="F845" s="26"/>
      <c r="G845" s="2"/>
      <c r="H845" s="2"/>
      <c r="I845" s="124"/>
      <c r="J845" s="122"/>
      <c r="K845" s="122"/>
      <c r="L845" s="122"/>
      <c r="M845" s="2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2.75" customHeight="1" x14ac:dyDescent="0.25">
      <c r="A846" s="2"/>
      <c r="B846" s="2"/>
      <c r="C846" s="2"/>
      <c r="D846" s="2"/>
      <c r="E846" s="25"/>
      <c r="F846" s="26"/>
      <c r="G846" s="2"/>
      <c r="H846" s="2"/>
      <c r="I846" s="124"/>
      <c r="J846" s="122"/>
      <c r="K846" s="122"/>
      <c r="L846" s="122"/>
      <c r="M846" s="2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2.75" customHeight="1" x14ac:dyDescent="0.25">
      <c r="A847" s="2"/>
      <c r="B847" s="2"/>
      <c r="C847" s="2"/>
      <c r="D847" s="2"/>
      <c r="E847" s="25"/>
      <c r="F847" s="26"/>
      <c r="G847" s="2"/>
      <c r="H847" s="2"/>
      <c r="I847" s="124"/>
      <c r="J847" s="122"/>
      <c r="K847" s="122"/>
      <c r="L847" s="122"/>
      <c r="M847" s="2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2.75" customHeight="1" x14ac:dyDescent="0.25">
      <c r="A848" s="2"/>
      <c r="B848" s="2"/>
      <c r="C848" s="2"/>
      <c r="D848" s="2"/>
      <c r="E848" s="25"/>
      <c r="F848" s="26"/>
      <c r="G848" s="2"/>
      <c r="H848" s="2"/>
      <c r="I848" s="124"/>
      <c r="J848" s="122"/>
      <c r="K848" s="122"/>
      <c r="L848" s="122"/>
      <c r="M848" s="2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2.75" customHeight="1" x14ac:dyDescent="0.25">
      <c r="A849" s="2"/>
      <c r="B849" s="2"/>
      <c r="C849" s="2"/>
      <c r="D849" s="2"/>
      <c r="E849" s="25"/>
      <c r="F849" s="26"/>
      <c r="G849" s="2"/>
      <c r="H849" s="2"/>
      <c r="I849" s="124"/>
      <c r="J849" s="122"/>
      <c r="K849" s="122"/>
      <c r="L849" s="122"/>
      <c r="M849" s="2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2.75" customHeight="1" x14ac:dyDescent="0.25">
      <c r="A850" s="2"/>
      <c r="B850" s="2"/>
      <c r="C850" s="2"/>
      <c r="D850" s="2"/>
      <c r="E850" s="25"/>
      <c r="F850" s="26"/>
      <c r="G850" s="2"/>
      <c r="H850" s="2"/>
      <c r="I850" s="124"/>
      <c r="J850" s="122"/>
      <c r="K850" s="122"/>
      <c r="L850" s="122"/>
      <c r="M850" s="2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2.75" customHeight="1" x14ac:dyDescent="0.25">
      <c r="A851" s="2"/>
      <c r="B851" s="2"/>
      <c r="C851" s="2"/>
      <c r="D851" s="2"/>
      <c r="E851" s="25"/>
      <c r="F851" s="26"/>
      <c r="G851" s="2"/>
      <c r="H851" s="2"/>
      <c r="I851" s="124"/>
      <c r="J851" s="122"/>
      <c r="K851" s="122"/>
      <c r="L851" s="122"/>
      <c r="M851" s="2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2.75" customHeight="1" x14ac:dyDescent="0.25">
      <c r="A852" s="2"/>
      <c r="B852" s="2"/>
      <c r="C852" s="2"/>
      <c r="D852" s="2"/>
      <c r="E852" s="25"/>
      <c r="F852" s="26"/>
      <c r="G852" s="2"/>
      <c r="H852" s="2"/>
      <c r="I852" s="124"/>
      <c r="J852" s="122"/>
      <c r="K852" s="122"/>
      <c r="L852" s="122"/>
      <c r="M852" s="2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2.75" customHeight="1" x14ac:dyDescent="0.25">
      <c r="A853" s="2"/>
      <c r="B853" s="2"/>
      <c r="C853" s="2"/>
      <c r="D853" s="2"/>
      <c r="E853" s="25"/>
      <c r="F853" s="26"/>
      <c r="G853" s="2"/>
      <c r="H853" s="2"/>
      <c r="I853" s="124"/>
      <c r="J853" s="122"/>
      <c r="K853" s="122"/>
      <c r="L853" s="122"/>
      <c r="M853" s="2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2.75" customHeight="1" x14ac:dyDescent="0.25">
      <c r="A854" s="2"/>
      <c r="B854" s="2"/>
      <c r="C854" s="2"/>
      <c r="D854" s="2"/>
      <c r="E854" s="25"/>
      <c r="F854" s="26"/>
      <c r="G854" s="2"/>
      <c r="H854" s="2"/>
      <c r="I854" s="124"/>
      <c r="J854" s="122"/>
      <c r="K854" s="122"/>
      <c r="L854" s="122"/>
      <c r="M854" s="2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2.75" customHeight="1" x14ac:dyDescent="0.25">
      <c r="A855" s="2"/>
      <c r="B855" s="2"/>
      <c r="C855" s="2"/>
      <c r="D855" s="2"/>
      <c r="E855" s="25"/>
      <c r="F855" s="26"/>
      <c r="G855" s="2"/>
      <c r="H855" s="2"/>
      <c r="I855" s="124"/>
      <c r="J855" s="122"/>
      <c r="K855" s="122"/>
      <c r="L855" s="122"/>
      <c r="M855" s="2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2.75" customHeight="1" x14ac:dyDescent="0.25">
      <c r="A856" s="2"/>
      <c r="B856" s="2"/>
      <c r="C856" s="2"/>
      <c r="D856" s="2"/>
      <c r="E856" s="25"/>
      <c r="F856" s="26"/>
      <c r="G856" s="2"/>
      <c r="H856" s="2"/>
      <c r="I856" s="124"/>
      <c r="J856" s="122"/>
      <c r="K856" s="122"/>
      <c r="L856" s="122"/>
      <c r="M856" s="2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2.75" customHeight="1" x14ac:dyDescent="0.25">
      <c r="A857" s="2"/>
      <c r="B857" s="2"/>
      <c r="C857" s="2"/>
      <c r="D857" s="2"/>
      <c r="E857" s="25"/>
      <c r="F857" s="26"/>
      <c r="G857" s="2"/>
      <c r="H857" s="2"/>
      <c r="I857" s="124"/>
      <c r="J857" s="122"/>
      <c r="K857" s="122"/>
      <c r="L857" s="122"/>
      <c r="M857" s="2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2.75" customHeight="1" x14ac:dyDescent="0.25">
      <c r="A858" s="2"/>
      <c r="B858" s="2"/>
      <c r="C858" s="2"/>
      <c r="D858" s="2"/>
      <c r="E858" s="25"/>
      <c r="F858" s="26"/>
      <c r="G858" s="2"/>
      <c r="H858" s="2"/>
      <c r="I858" s="124"/>
      <c r="J858" s="122"/>
      <c r="K858" s="122"/>
      <c r="L858" s="122"/>
      <c r="M858" s="2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2.75" customHeight="1" x14ac:dyDescent="0.25">
      <c r="A859" s="2"/>
      <c r="B859" s="2"/>
      <c r="C859" s="2"/>
      <c r="D859" s="2"/>
      <c r="E859" s="25"/>
      <c r="F859" s="26"/>
      <c r="G859" s="2"/>
      <c r="H859" s="2"/>
      <c r="I859" s="124"/>
      <c r="J859" s="122"/>
      <c r="K859" s="122"/>
      <c r="L859" s="122"/>
      <c r="M859" s="2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2.75" customHeight="1" x14ac:dyDescent="0.25">
      <c r="A860" s="2"/>
      <c r="B860" s="2"/>
      <c r="C860" s="2"/>
      <c r="D860" s="2"/>
      <c r="E860" s="25"/>
      <c r="F860" s="26"/>
      <c r="G860" s="2"/>
      <c r="H860" s="2"/>
      <c r="I860" s="124"/>
      <c r="J860" s="122"/>
      <c r="K860" s="122"/>
      <c r="L860" s="122"/>
      <c r="M860" s="2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2.75" customHeight="1" x14ac:dyDescent="0.25">
      <c r="A861" s="2"/>
      <c r="B861" s="2"/>
      <c r="C861" s="2"/>
      <c r="D861" s="2"/>
      <c r="E861" s="25"/>
      <c r="F861" s="26"/>
      <c r="G861" s="2"/>
      <c r="H861" s="2"/>
      <c r="I861" s="124"/>
      <c r="J861" s="122"/>
      <c r="K861" s="122"/>
      <c r="L861" s="122"/>
      <c r="M861" s="2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2.75" customHeight="1" x14ac:dyDescent="0.25">
      <c r="A862" s="2"/>
      <c r="B862" s="2"/>
      <c r="C862" s="2"/>
      <c r="D862" s="2"/>
      <c r="E862" s="25"/>
      <c r="F862" s="26"/>
      <c r="G862" s="2"/>
      <c r="H862" s="2"/>
      <c r="I862" s="124"/>
      <c r="J862" s="122"/>
      <c r="K862" s="122"/>
      <c r="L862" s="122"/>
      <c r="M862" s="2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2.75" customHeight="1" x14ac:dyDescent="0.25">
      <c r="A863" s="2"/>
      <c r="B863" s="2"/>
      <c r="C863" s="2"/>
      <c r="D863" s="2"/>
      <c r="E863" s="25"/>
      <c r="F863" s="26"/>
      <c r="G863" s="2"/>
      <c r="H863" s="2"/>
      <c r="I863" s="124"/>
      <c r="J863" s="122"/>
      <c r="K863" s="122"/>
      <c r="L863" s="122"/>
      <c r="M863" s="2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2.75" customHeight="1" x14ac:dyDescent="0.25">
      <c r="A864" s="2"/>
      <c r="B864" s="2"/>
      <c r="C864" s="2"/>
      <c r="D864" s="2"/>
      <c r="E864" s="25"/>
      <c r="F864" s="26"/>
      <c r="G864" s="2"/>
      <c r="H864" s="2"/>
      <c r="I864" s="124"/>
      <c r="J864" s="122"/>
      <c r="K864" s="122"/>
      <c r="L864" s="122"/>
      <c r="M864" s="2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2.75" customHeight="1" x14ac:dyDescent="0.25">
      <c r="A865" s="2"/>
      <c r="B865" s="2"/>
      <c r="C865" s="2"/>
      <c r="D865" s="2"/>
      <c r="E865" s="25"/>
      <c r="F865" s="26"/>
      <c r="G865" s="2"/>
      <c r="H865" s="2"/>
      <c r="I865" s="124"/>
      <c r="J865" s="122"/>
      <c r="K865" s="122"/>
      <c r="L865" s="122"/>
      <c r="M865" s="2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2.75" customHeight="1" x14ac:dyDescent="0.25">
      <c r="A866" s="2"/>
      <c r="B866" s="2"/>
      <c r="C866" s="2"/>
      <c r="D866" s="2"/>
      <c r="E866" s="25"/>
      <c r="F866" s="26"/>
      <c r="G866" s="2"/>
      <c r="H866" s="2"/>
      <c r="I866" s="124"/>
      <c r="J866" s="122"/>
      <c r="K866" s="122"/>
      <c r="L866" s="122"/>
      <c r="M866" s="2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2.75" customHeight="1" x14ac:dyDescent="0.25">
      <c r="A867" s="2"/>
      <c r="B867" s="2"/>
      <c r="C867" s="2"/>
      <c r="D867" s="2"/>
      <c r="E867" s="25"/>
      <c r="F867" s="26"/>
      <c r="G867" s="2"/>
      <c r="H867" s="2"/>
      <c r="I867" s="124"/>
      <c r="J867" s="122"/>
      <c r="K867" s="122"/>
      <c r="L867" s="122"/>
      <c r="M867" s="2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2.75" customHeight="1" x14ac:dyDescent="0.25">
      <c r="A868" s="2"/>
      <c r="B868" s="2"/>
      <c r="C868" s="2"/>
      <c r="D868" s="2"/>
      <c r="E868" s="25"/>
      <c r="F868" s="26"/>
      <c r="G868" s="2"/>
      <c r="H868" s="2"/>
      <c r="I868" s="124"/>
      <c r="J868" s="122"/>
      <c r="K868" s="122"/>
      <c r="L868" s="122"/>
      <c r="M868" s="2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2.75" customHeight="1" x14ac:dyDescent="0.25">
      <c r="A869" s="2"/>
      <c r="B869" s="2"/>
      <c r="C869" s="2"/>
      <c r="D869" s="2"/>
      <c r="E869" s="25"/>
      <c r="F869" s="26"/>
      <c r="G869" s="2"/>
      <c r="H869" s="2"/>
      <c r="I869" s="124"/>
      <c r="J869" s="122"/>
      <c r="K869" s="122"/>
      <c r="L869" s="122"/>
      <c r="M869" s="2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2.75" customHeight="1" x14ac:dyDescent="0.25">
      <c r="A870" s="2"/>
      <c r="B870" s="2"/>
      <c r="C870" s="2"/>
      <c r="D870" s="2"/>
      <c r="E870" s="25"/>
      <c r="F870" s="26"/>
      <c r="G870" s="2"/>
      <c r="H870" s="2"/>
      <c r="I870" s="124"/>
      <c r="J870" s="122"/>
      <c r="K870" s="122"/>
      <c r="L870" s="122"/>
      <c r="M870" s="2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2.75" customHeight="1" x14ac:dyDescent="0.25">
      <c r="A871" s="2"/>
      <c r="B871" s="2"/>
      <c r="C871" s="2"/>
      <c r="D871" s="2"/>
      <c r="E871" s="25"/>
      <c r="F871" s="26"/>
      <c r="G871" s="2"/>
      <c r="H871" s="2"/>
      <c r="I871" s="124"/>
      <c r="J871" s="122"/>
      <c r="K871" s="122"/>
      <c r="L871" s="122"/>
      <c r="M871" s="2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2.75" customHeight="1" x14ac:dyDescent="0.25">
      <c r="A872" s="2"/>
      <c r="B872" s="2"/>
      <c r="C872" s="2"/>
      <c r="D872" s="2"/>
      <c r="E872" s="25"/>
      <c r="F872" s="26"/>
      <c r="G872" s="2"/>
      <c r="H872" s="2"/>
      <c r="I872" s="124"/>
      <c r="J872" s="122"/>
      <c r="K872" s="122"/>
      <c r="L872" s="122"/>
      <c r="M872" s="2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2.75" customHeight="1" x14ac:dyDescent="0.25">
      <c r="A873" s="2"/>
      <c r="B873" s="2"/>
      <c r="C873" s="2"/>
      <c r="D873" s="2"/>
      <c r="E873" s="25"/>
      <c r="F873" s="26"/>
      <c r="G873" s="2"/>
      <c r="H873" s="2"/>
      <c r="I873" s="124"/>
      <c r="J873" s="122"/>
      <c r="K873" s="122"/>
      <c r="L873" s="122"/>
      <c r="M873" s="2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2.75" customHeight="1" x14ac:dyDescent="0.25">
      <c r="A874" s="2"/>
      <c r="B874" s="2"/>
      <c r="C874" s="2"/>
      <c r="D874" s="2"/>
      <c r="E874" s="25"/>
      <c r="F874" s="26"/>
      <c r="G874" s="2"/>
      <c r="H874" s="2"/>
      <c r="I874" s="124"/>
      <c r="J874" s="122"/>
      <c r="K874" s="122"/>
      <c r="L874" s="122"/>
      <c r="M874" s="2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2.75" customHeight="1" x14ac:dyDescent="0.25">
      <c r="A875" s="2"/>
      <c r="B875" s="2"/>
      <c r="C875" s="2"/>
      <c r="D875" s="2"/>
      <c r="E875" s="25"/>
      <c r="F875" s="26"/>
      <c r="G875" s="2"/>
      <c r="H875" s="2"/>
      <c r="I875" s="124"/>
      <c r="J875" s="122"/>
      <c r="K875" s="122"/>
      <c r="L875" s="122"/>
      <c r="M875" s="2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2.75" customHeight="1" x14ac:dyDescent="0.25">
      <c r="A876" s="2"/>
      <c r="B876" s="2"/>
      <c r="C876" s="2"/>
      <c r="D876" s="2"/>
      <c r="E876" s="25"/>
      <c r="F876" s="26"/>
      <c r="G876" s="2"/>
      <c r="H876" s="2"/>
      <c r="I876" s="124"/>
      <c r="J876" s="122"/>
      <c r="K876" s="122"/>
      <c r="L876" s="122"/>
      <c r="M876" s="2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2.75" customHeight="1" x14ac:dyDescent="0.25">
      <c r="A877" s="2"/>
      <c r="B877" s="2"/>
      <c r="C877" s="2"/>
      <c r="D877" s="2"/>
      <c r="E877" s="25"/>
      <c r="F877" s="26"/>
      <c r="G877" s="2"/>
      <c r="H877" s="2"/>
      <c r="I877" s="124"/>
      <c r="J877" s="122"/>
      <c r="K877" s="122"/>
      <c r="L877" s="122"/>
      <c r="M877" s="2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2.75" customHeight="1" x14ac:dyDescent="0.25">
      <c r="A878" s="2"/>
      <c r="B878" s="2"/>
      <c r="C878" s="2"/>
      <c r="D878" s="2"/>
      <c r="E878" s="25"/>
      <c r="F878" s="26"/>
      <c r="G878" s="2"/>
      <c r="H878" s="2"/>
      <c r="I878" s="124"/>
      <c r="J878" s="122"/>
      <c r="K878" s="122"/>
      <c r="L878" s="122"/>
      <c r="M878" s="2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2.75" customHeight="1" x14ac:dyDescent="0.25">
      <c r="A879" s="2"/>
      <c r="B879" s="2"/>
      <c r="C879" s="2"/>
      <c r="D879" s="2"/>
      <c r="E879" s="25"/>
      <c r="F879" s="26"/>
      <c r="G879" s="2"/>
      <c r="H879" s="2"/>
      <c r="I879" s="124"/>
      <c r="J879" s="122"/>
      <c r="K879" s="122"/>
      <c r="L879" s="122"/>
      <c r="M879" s="2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2.75" customHeight="1" x14ac:dyDescent="0.25">
      <c r="A880" s="2"/>
      <c r="B880" s="2"/>
      <c r="C880" s="2"/>
      <c r="D880" s="2"/>
      <c r="E880" s="25"/>
      <c r="F880" s="26"/>
      <c r="G880" s="2"/>
      <c r="H880" s="2"/>
      <c r="I880" s="124"/>
      <c r="J880" s="122"/>
      <c r="K880" s="122"/>
      <c r="L880" s="122"/>
      <c r="M880" s="2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2.75" customHeight="1" x14ac:dyDescent="0.25">
      <c r="A881" s="2"/>
      <c r="B881" s="2"/>
      <c r="C881" s="2"/>
      <c r="D881" s="2"/>
      <c r="E881" s="25"/>
      <c r="F881" s="26"/>
      <c r="G881" s="2"/>
      <c r="H881" s="2"/>
      <c r="I881" s="124"/>
      <c r="J881" s="122"/>
      <c r="K881" s="122"/>
      <c r="L881" s="122"/>
      <c r="M881" s="2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2.75" customHeight="1" x14ac:dyDescent="0.25">
      <c r="A882" s="2"/>
      <c r="B882" s="2"/>
      <c r="C882" s="2"/>
      <c r="D882" s="2"/>
      <c r="E882" s="25"/>
      <c r="F882" s="26"/>
      <c r="G882" s="2"/>
      <c r="H882" s="2"/>
      <c r="I882" s="124"/>
      <c r="J882" s="122"/>
      <c r="K882" s="122"/>
      <c r="L882" s="122"/>
      <c r="M882" s="2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2.75" customHeight="1" x14ac:dyDescent="0.25">
      <c r="A883" s="2"/>
      <c r="B883" s="2"/>
      <c r="C883" s="2"/>
      <c r="D883" s="2"/>
      <c r="E883" s="25"/>
      <c r="F883" s="26"/>
      <c r="G883" s="2"/>
      <c r="H883" s="2"/>
      <c r="I883" s="124"/>
      <c r="J883" s="122"/>
      <c r="K883" s="122"/>
      <c r="L883" s="122"/>
      <c r="M883" s="2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2.75" customHeight="1" x14ac:dyDescent="0.25">
      <c r="A884" s="2"/>
      <c r="B884" s="2"/>
      <c r="C884" s="2"/>
      <c r="D884" s="2"/>
      <c r="E884" s="25"/>
      <c r="F884" s="26"/>
      <c r="G884" s="2"/>
      <c r="H884" s="2"/>
      <c r="I884" s="124"/>
      <c r="J884" s="122"/>
      <c r="K884" s="122"/>
      <c r="L884" s="122"/>
      <c r="M884" s="2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2.75" customHeight="1" x14ac:dyDescent="0.25">
      <c r="A885" s="2"/>
      <c r="B885" s="2"/>
      <c r="C885" s="2"/>
      <c r="D885" s="2"/>
      <c r="E885" s="25"/>
      <c r="F885" s="26"/>
      <c r="G885" s="2"/>
      <c r="H885" s="2"/>
      <c r="I885" s="124"/>
      <c r="J885" s="122"/>
      <c r="K885" s="122"/>
      <c r="L885" s="122"/>
      <c r="M885" s="2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2.75" customHeight="1" x14ac:dyDescent="0.25">
      <c r="A886" s="2"/>
      <c r="B886" s="2"/>
      <c r="C886" s="2"/>
      <c r="D886" s="2"/>
      <c r="E886" s="25"/>
      <c r="F886" s="26"/>
      <c r="G886" s="2"/>
      <c r="H886" s="2"/>
      <c r="I886" s="124"/>
      <c r="J886" s="122"/>
      <c r="K886" s="122"/>
      <c r="L886" s="122"/>
      <c r="M886" s="2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2.75" customHeight="1" x14ac:dyDescent="0.25">
      <c r="A887" s="2"/>
      <c r="B887" s="2"/>
      <c r="C887" s="2"/>
      <c r="D887" s="2"/>
      <c r="E887" s="25"/>
      <c r="F887" s="26"/>
      <c r="G887" s="2"/>
      <c r="H887" s="2"/>
      <c r="I887" s="124"/>
      <c r="J887" s="122"/>
      <c r="K887" s="122"/>
      <c r="L887" s="122"/>
      <c r="M887" s="2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2.75" customHeight="1" x14ac:dyDescent="0.25">
      <c r="A888" s="2"/>
      <c r="B888" s="2"/>
      <c r="C888" s="2"/>
      <c r="D888" s="2"/>
      <c r="E888" s="25"/>
      <c r="F888" s="26"/>
      <c r="G888" s="2"/>
      <c r="H888" s="2"/>
      <c r="I888" s="124"/>
      <c r="J888" s="122"/>
      <c r="K888" s="122"/>
      <c r="L888" s="122"/>
      <c r="M888" s="2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2.75" customHeight="1" x14ac:dyDescent="0.25">
      <c r="A889" s="2"/>
      <c r="B889" s="2"/>
      <c r="C889" s="2"/>
      <c r="D889" s="2"/>
      <c r="E889" s="25"/>
      <c r="F889" s="26"/>
      <c r="G889" s="2"/>
      <c r="H889" s="2"/>
      <c r="I889" s="124"/>
      <c r="J889" s="122"/>
      <c r="K889" s="122"/>
      <c r="L889" s="122"/>
      <c r="M889" s="2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2.75" customHeight="1" x14ac:dyDescent="0.25">
      <c r="A890" s="2"/>
      <c r="B890" s="2"/>
      <c r="C890" s="2"/>
      <c r="D890" s="2"/>
      <c r="E890" s="25"/>
      <c r="F890" s="26"/>
      <c r="G890" s="2"/>
      <c r="H890" s="2"/>
      <c r="I890" s="124"/>
      <c r="J890" s="122"/>
      <c r="K890" s="122"/>
      <c r="L890" s="122"/>
      <c r="M890" s="2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2.75" customHeight="1" x14ac:dyDescent="0.25">
      <c r="A891" s="2"/>
      <c r="B891" s="2"/>
      <c r="C891" s="2"/>
      <c r="D891" s="2"/>
      <c r="E891" s="25"/>
      <c r="F891" s="26"/>
      <c r="G891" s="2"/>
      <c r="H891" s="2"/>
      <c r="I891" s="124"/>
      <c r="J891" s="122"/>
      <c r="K891" s="122"/>
      <c r="L891" s="122"/>
      <c r="M891" s="2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2.75" customHeight="1" x14ac:dyDescent="0.25">
      <c r="A892" s="2"/>
      <c r="B892" s="2"/>
      <c r="C892" s="2"/>
      <c r="D892" s="2"/>
      <c r="E892" s="25"/>
      <c r="F892" s="26"/>
      <c r="G892" s="2"/>
      <c r="H892" s="2"/>
      <c r="I892" s="124"/>
      <c r="J892" s="122"/>
      <c r="K892" s="122"/>
      <c r="L892" s="122"/>
      <c r="M892" s="2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2.75" customHeight="1" x14ac:dyDescent="0.25">
      <c r="A893" s="2"/>
      <c r="B893" s="2"/>
      <c r="C893" s="2"/>
      <c r="D893" s="2"/>
      <c r="E893" s="25"/>
      <c r="F893" s="26"/>
      <c r="G893" s="2"/>
      <c r="H893" s="2"/>
      <c r="I893" s="124"/>
      <c r="J893" s="122"/>
      <c r="K893" s="122"/>
      <c r="L893" s="122"/>
      <c r="M893" s="2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2.75" customHeight="1" x14ac:dyDescent="0.25">
      <c r="A894" s="2"/>
      <c r="B894" s="2"/>
      <c r="C894" s="2"/>
      <c r="D894" s="2"/>
      <c r="E894" s="25"/>
      <c r="F894" s="26"/>
      <c r="G894" s="2"/>
      <c r="H894" s="2"/>
      <c r="I894" s="124"/>
      <c r="J894" s="122"/>
      <c r="K894" s="122"/>
      <c r="L894" s="122"/>
      <c r="M894" s="2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2.75" customHeight="1" x14ac:dyDescent="0.25">
      <c r="A895" s="2"/>
      <c r="B895" s="2"/>
      <c r="C895" s="2"/>
      <c r="D895" s="2"/>
      <c r="E895" s="25"/>
      <c r="F895" s="26"/>
      <c r="G895" s="2"/>
      <c r="H895" s="2"/>
      <c r="I895" s="124"/>
      <c r="J895" s="122"/>
      <c r="K895" s="122"/>
      <c r="L895" s="122"/>
      <c r="M895" s="2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2.75" customHeight="1" x14ac:dyDescent="0.25">
      <c r="A896" s="2"/>
      <c r="B896" s="2"/>
      <c r="C896" s="2"/>
      <c r="D896" s="2"/>
      <c r="E896" s="25"/>
      <c r="F896" s="26"/>
      <c r="G896" s="2"/>
      <c r="H896" s="2"/>
      <c r="I896" s="124"/>
      <c r="J896" s="122"/>
      <c r="K896" s="122"/>
      <c r="L896" s="122"/>
      <c r="M896" s="2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2.75" customHeight="1" x14ac:dyDescent="0.25">
      <c r="A897" s="2"/>
      <c r="B897" s="2"/>
      <c r="C897" s="2"/>
      <c r="D897" s="2"/>
      <c r="E897" s="25"/>
      <c r="F897" s="26"/>
      <c r="G897" s="2"/>
      <c r="H897" s="2"/>
      <c r="I897" s="124"/>
      <c r="J897" s="122"/>
      <c r="K897" s="122"/>
      <c r="L897" s="122"/>
      <c r="M897" s="2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2.75" customHeight="1" x14ac:dyDescent="0.25">
      <c r="A898" s="2"/>
      <c r="B898" s="2"/>
      <c r="C898" s="2"/>
      <c r="D898" s="2"/>
      <c r="E898" s="25"/>
      <c r="F898" s="26"/>
      <c r="G898" s="2"/>
      <c r="H898" s="2"/>
      <c r="I898" s="124"/>
      <c r="J898" s="122"/>
      <c r="K898" s="122"/>
      <c r="L898" s="122"/>
      <c r="M898" s="2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2.75" customHeight="1" x14ac:dyDescent="0.25">
      <c r="A899" s="2"/>
      <c r="B899" s="2"/>
      <c r="C899" s="2"/>
      <c r="D899" s="2"/>
      <c r="E899" s="25"/>
      <c r="F899" s="26"/>
      <c r="G899" s="2"/>
      <c r="H899" s="2"/>
      <c r="I899" s="124"/>
      <c r="J899" s="122"/>
      <c r="K899" s="122"/>
      <c r="L899" s="122"/>
      <c r="M899" s="2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2.75" customHeight="1" x14ac:dyDescent="0.25">
      <c r="A900" s="2"/>
      <c r="B900" s="2"/>
      <c r="C900" s="2"/>
      <c r="D900" s="2"/>
      <c r="E900" s="25"/>
      <c r="F900" s="26"/>
      <c r="G900" s="2"/>
      <c r="H900" s="2"/>
      <c r="I900" s="124"/>
      <c r="J900" s="122"/>
      <c r="K900" s="122"/>
      <c r="L900" s="122"/>
      <c r="M900" s="2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2.75" customHeight="1" x14ac:dyDescent="0.25">
      <c r="A901" s="2"/>
      <c r="B901" s="2"/>
      <c r="C901" s="2"/>
      <c r="D901" s="2"/>
      <c r="E901" s="25"/>
      <c r="F901" s="26"/>
      <c r="G901" s="2"/>
      <c r="H901" s="2"/>
      <c r="I901" s="124"/>
      <c r="J901" s="122"/>
      <c r="K901" s="122"/>
      <c r="L901" s="122"/>
      <c r="M901" s="2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2.75" customHeight="1" x14ac:dyDescent="0.25">
      <c r="A902" s="2"/>
      <c r="B902" s="2"/>
      <c r="C902" s="2"/>
      <c r="D902" s="2"/>
      <c r="E902" s="25"/>
      <c r="F902" s="26"/>
      <c r="G902" s="2"/>
      <c r="H902" s="2"/>
      <c r="I902" s="124"/>
      <c r="J902" s="122"/>
      <c r="K902" s="122"/>
      <c r="L902" s="122"/>
      <c r="M902" s="2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2.75" customHeight="1" x14ac:dyDescent="0.25">
      <c r="A903" s="2"/>
      <c r="B903" s="2"/>
      <c r="C903" s="2"/>
      <c r="D903" s="2"/>
      <c r="E903" s="25"/>
      <c r="F903" s="26"/>
      <c r="G903" s="2"/>
      <c r="H903" s="2"/>
      <c r="I903" s="124"/>
      <c r="J903" s="122"/>
      <c r="K903" s="122"/>
      <c r="L903" s="122"/>
      <c r="M903" s="2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2.75" customHeight="1" x14ac:dyDescent="0.25">
      <c r="A904" s="2"/>
      <c r="B904" s="2"/>
      <c r="C904" s="2"/>
      <c r="D904" s="2"/>
      <c r="E904" s="25"/>
      <c r="F904" s="26"/>
      <c r="G904" s="2"/>
      <c r="H904" s="2"/>
      <c r="I904" s="124"/>
      <c r="J904" s="122"/>
      <c r="K904" s="122"/>
      <c r="L904" s="122"/>
      <c r="M904" s="2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2.75" customHeight="1" x14ac:dyDescent="0.25">
      <c r="A905" s="2"/>
      <c r="B905" s="2"/>
      <c r="C905" s="2"/>
      <c r="D905" s="2"/>
      <c r="E905" s="25"/>
      <c r="F905" s="26"/>
      <c r="G905" s="2"/>
      <c r="H905" s="2"/>
      <c r="I905" s="124"/>
      <c r="J905" s="122"/>
      <c r="K905" s="122"/>
      <c r="L905" s="122"/>
      <c r="M905" s="2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2.75" customHeight="1" x14ac:dyDescent="0.25">
      <c r="A906" s="2"/>
      <c r="B906" s="2"/>
      <c r="C906" s="2"/>
      <c r="D906" s="2"/>
      <c r="E906" s="25"/>
      <c r="F906" s="26"/>
      <c r="G906" s="2"/>
      <c r="H906" s="2"/>
      <c r="I906" s="124"/>
      <c r="J906" s="122"/>
      <c r="K906" s="122"/>
      <c r="L906" s="122"/>
      <c r="M906" s="2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2.75" customHeight="1" x14ac:dyDescent="0.25">
      <c r="A907" s="2"/>
      <c r="B907" s="2"/>
      <c r="C907" s="2"/>
      <c r="D907" s="2"/>
      <c r="E907" s="25"/>
      <c r="F907" s="26"/>
      <c r="G907" s="2"/>
      <c r="H907" s="2"/>
      <c r="I907" s="124"/>
      <c r="J907" s="122"/>
      <c r="K907" s="122"/>
      <c r="L907" s="122"/>
      <c r="M907" s="2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2.75" customHeight="1" x14ac:dyDescent="0.25">
      <c r="A908" s="2"/>
      <c r="B908" s="2"/>
      <c r="C908" s="2"/>
      <c r="D908" s="2"/>
      <c r="E908" s="25"/>
      <c r="F908" s="26"/>
      <c r="G908" s="2"/>
      <c r="H908" s="2"/>
      <c r="I908" s="124"/>
      <c r="J908" s="122"/>
      <c r="K908" s="122"/>
      <c r="L908" s="122"/>
      <c r="M908" s="2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2.75" customHeight="1" x14ac:dyDescent="0.25">
      <c r="A909" s="2"/>
      <c r="B909" s="2"/>
      <c r="C909" s="2"/>
      <c r="D909" s="2"/>
      <c r="E909" s="25"/>
      <c r="F909" s="26"/>
      <c r="G909" s="2"/>
      <c r="H909" s="2"/>
      <c r="I909" s="124"/>
      <c r="J909" s="122"/>
      <c r="K909" s="122"/>
      <c r="L909" s="122"/>
      <c r="M909" s="2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2.75" customHeight="1" x14ac:dyDescent="0.25">
      <c r="A910" s="2"/>
      <c r="B910" s="2"/>
      <c r="C910" s="2"/>
      <c r="D910" s="2"/>
      <c r="E910" s="25"/>
      <c r="F910" s="26"/>
      <c r="G910" s="2"/>
      <c r="H910" s="2"/>
      <c r="I910" s="124"/>
      <c r="J910" s="122"/>
      <c r="K910" s="122"/>
      <c r="L910" s="122"/>
      <c r="M910" s="2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2.75" customHeight="1" x14ac:dyDescent="0.25">
      <c r="A911" s="2"/>
      <c r="B911" s="2"/>
      <c r="C911" s="2"/>
      <c r="D911" s="2"/>
      <c r="E911" s="25"/>
      <c r="F911" s="26"/>
      <c r="G911" s="2"/>
      <c r="H911" s="2"/>
      <c r="I911" s="124"/>
      <c r="J911" s="122"/>
      <c r="K911" s="122"/>
      <c r="L911" s="122"/>
      <c r="M911" s="2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2.75" customHeight="1" x14ac:dyDescent="0.25">
      <c r="A912" s="2"/>
      <c r="B912" s="2"/>
      <c r="C912" s="2"/>
      <c r="D912" s="2"/>
      <c r="E912" s="25"/>
      <c r="F912" s="26"/>
      <c r="G912" s="2"/>
      <c r="H912" s="2"/>
      <c r="I912" s="124"/>
      <c r="J912" s="122"/>
      <c r="K912" s="122"/>
      <c r="L912" s="122"/>
      <c r="M912" s="2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2.75" customHeight="1" x14ac:dyDescent="0.25">
      <c r="A913" s="2"/>
      <c r="B913" s="2"/>
      <c r="C913" s="2"/>
      <c r="D913" s="2"/>
      <c r="E913" s="25"/>
      <c r="F913" s="26"/>
      <c r="G913" s="2"/>
      <c r="H913" s="2"/>
      <c r="I913" s="124"/>
      <c r="J913" s="122"/>
      <c r="K913" s="122"/>
      <c r="L913" s="122"/>
      <c r="M913" s="2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2.75" customHeight="1" x14ac:dyDescent="0.25">
      <c r="A914" s="2"/>
      <c r="B914" s="2"/>
      <c r="C914" s="2"/>
      <c r="D914" s="2"/>
      <c r="E914" s="25"/>
      <c r="F914" s="26"/>
      <c r="G914" s="2"/>
      <c r="H914" s="2"/>
      <c r="I914" s="124"/>
      <c r="J914" s="122"/>
      <c r="K914" s="122"/>
      <c r="L914" s="122"/>
      <c r="M914" s="2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2.75" customHeight="1" x14ac:dyDescent="0.25">
      <c r="A915" s="2"/>
      <c r="B915" s="2"/>
      <c r="C915" s="2"/>
      <c r="D915" s="2"/>
      <c r="E915" s="25"/>
      <c r="F915" s="26"/>
      <c r="G915" s="2"/>
      <c r="H915" s="2"/>
      <c r="I915" s="124"/>
      <c r="J915" s="122"/>
      <c r="K915" s="122"/>
      <c r="L915" s="122"/>
      <c r="M915" s="2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2.75" customHeight="1" x14ac:dyDescent="0.25">
      <c r="A916" s="2"/>
      <c r="B916" s="2"/>
      <c r="C916" s="2"/>
      <c r="D916" s="2"/>
      <c r="E916" s="25"/>
      <c r="F916" s="26"/>
      <c r="G916" s="2"/>
      <c r="H916" s="2"/>
      <c r="I916" s="124"/>
      <c r="J916" s="122"/>
      <c r="K916" s="122"/>
      <c r="L916" s="122"/>
      <c r="M916" s="2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2.75" customHeight="1" x14ac:dyDescent="0.25">
      <c r="A917" s="2"/>
      <c r="B917" s="2"/>
      <c r="C917" s="2"/>
      <c r="D917" s="2"/>
      <c r="E917" s="25"/>
      <c r="F917" s="26"/>
      <c r="G917" s="2"/>
      <c r="H917" s="2"/>
      <c r="I917" s="124"/>
      <c r="J917" s="122"/>
      <c r="K917" s="122"/>
      <c r="L917" s="122"/>
      <c r="M917" s="2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2.75" customHeight="1" x14ac:dyDescent="0.25">
      <c r="A918" s="2"/>
      <c r="B918" s="2"/>
      <c r="C918" s="2"/>
      <c r="D918" s="2"/>
      <c r="E918" s="25"/>
      <c r="F918" s="26"/>
      <c r="G918" s="2"/>
      <c r="H918" s="2"/>
      <c r="I918" s="124"/>
      <c r="J918" s="122"/>
      <c r="K918" s="122"/>
      <c r="L918" s="122"/>
      <c r="M918" s="2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2.75" customHeight="1" x14ac:dyDescent="0.25">
      <c r="A919" s="2"/>
      <c r="B919" s="2"/>
      <c r="C919" s="2"/>
      <c r="D919" s="2"/>
      <c r="E919" s="25"/>
      <c r="F919" s="26"/>
      <c r="G919" s="2"/>
      <c r="H919" s="2"/>
      <c r="I919" s="124"/>
      <c r="J919" s="122"/>
      <c r="K919" s="122"/>
      <c r="L919" s="122"/>
      <c r="M919" s="2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2.75" customHeight="1" x14ac:dyDescent="0.25">
      <c r="A920" s="2"/>
      <c r="B920" s="2"/>
      <c r="C920" s="2"/>
      <c r="D920" s="2"/>
      <c r="E920" s="25"/>
      <c r="F920" s="26"/>
      <c r="G920" s="2"/>
      <c r="H920" s="2"/>
      <c r="I920" s="124"/>
      <c r="J920" s="122"/>
      <c r="K920" s="122"/>
      <c r="L920" s="122"/>
      <c r="M920" s="2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2.75" customHeight="1" x14ac:dyDescent="0.25">
      <c r="A921" s="2"/>
      <c r="B921" s="2"/>
      <c r="C921" s="2"/>
      <c r="D921" s="2"/>
      <c r="E921" s="25"/>
      <c r="F921" s="26"/>
      <c r="G921" s="2"/>
      <c r="H921" s="2"/>
      <c r="I921" s="124"/>
      <c r="J921" s="122"/>
      <c r="K921" s="122"/>
      <c r="L921" s="122"/>
      <c r="M921" s="2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2.75" customHeight="1" x14ac:dyDescent="0.25">
      <c r="A922" s="2"/>
      <c r="B922" s="2"/>
      <c r="C922" s="2"/>
      <c r="D922" s="2"/>
      <c r="E922" s="25"/>
      <c r="F922" s="26"/>
      <c r="G922" s="2"/>
      <c r="H922" s="2"/>
      <c r="I922" s="124"/>
      <c r="J922" s="122"/>
      <c r="K922" s="122"/>
      <c r="L922" s="122"/>
      <c r="M922" s="2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2.75" customHeight="1" x14ac:dyDescent="0.25">
      <c r="A923" s="2"/>
      <c r="B923" s="2"/>
      <c r="C923" s="2"/>
      <c r="D923" s="2"/>
      <c r="E923" s="25"/>
      <c r="F923" s="26"/>
      <c r="G923" s="2"/>
      <c r="H923" s="2"/>
      <c r="I923" s="124"/>
      <c r="J923" s="122"/>
      <c r="K923" s="122"/>
      <c r="L923" s="122"/>
      <c r="M923" s="2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2.75" customHeight="1" x14ac:dyDescent="0.25">
      <c r="A924" s="2"/>
      <c r="B924" s="2"/>
      <c r="C924" s="2"/>
      <c r="D924" s="2"/>
      <c r="E924" s="25"/>
      <c r="F924" s="26"/>
      <c r="G924" s="2"/>
      <c r="H924" s="2"/>
      <c r="I924" s="124"/>
      <c r="J924" s="122"/>
      <c r="K924" s="122"/>
      <c r="L924" s="122"/>
      <c r="M924" s="2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2.75" customHeight="1" x14ac:dyDescent="0.25">
      <c r="A925" s="2"/>
      <c r="B925" s="2"/>
      <c r="C925" s="2"/>
      <c r="D925" s="2"/>
      <c r="E925" s="25"/>
      <c r="F925" s="26"/>
      <c r="G925" s="2"/>
      <c r="H925" s="2"/>
      <c r="I925" s="124"/>
      <c r="J925" s="122"/>
      <c r="K925" s="122"/>
      <c r="L925" s="122"/>
      <c r="M925" s="2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2.75" customHeight="1" x14ac:dyDescent="0.25">
      <c r="A926" s="2"/>
      <c r="B926" s="2"/>
      <c r="C926" s="2"/>
      <c r="D926" s="2"/>
      <c r="E926" s="25"/>
      <c r="F926" s="26"/>
      <c r="G926" s="2"/>
      <c r="H926" s="2"/>
      <c r="I926" s="124"/>
      <c r="J926" s="122"/>
      <c r="K926" s="122"/>
      <c r="L926" s="122"/>
      <c r="M926" s="2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2.75" customHeight="1" x14ac:dyDescent="0.25">
      <c r="A927" s="2"/>
      <c r="B927" s="2"/>
      <c r="C927" s="2"/>
      <c r="D927" s="2"/>
      <c r="E927" s="25"/>
      <c r="F927" s="26"/>
      <c r="G927" s="2"/>
      <c r="H927" s="2"/>
      <c r="I927" s="124"/>
      <c r="J927" s="122"/>
      <c r="K927" s="122"/>
      <c r="L927" s="122"/>
      <c r="M927" s="2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2.75" customHeight="1" x14ac:dyDescent="0.25">
      <c r="A928" s="2"/>
      <c r="B928" s="2"/>
      <c r="C928" s="2"/>
      <c r="D928" s="2"/>
      <c r="E928" s="25"/>
      <c r="F928" s="26"/>
      <c r="G928" s="2"/>
      <c r="H928" s="2"/>
      <c r="I928" s="124"/>
      <c r="J928" s="122"/>
      <c r="K928" s="122"/>
      <c r="L928" s="122"/>
      <c r="M928" s="2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2.75" customHeight="1" x14ac:dyDescent="0.25">
      <c r="A929" s="2"/>
      <c r="B929" s="2"/>
      <c r="C929" s="2"/>
      <c r="D929" s="2"/>
      <c r="E929" s="25"/>
      <c r="F929" s="26"/>
      <c r="G929" s="2"/>
      <c r="H929" s="2"/>
      <c r="I929" s="124"/>
      <c r="J929" s="122"/>
      <c r="K929" s="122"/>
      <c r="L929" s="122"/>
      <c r="M929" s="2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2.75" customHeight="1" x14ac:dyDescent="0.25">
      <c r="A930" s="2"/>
      <c r="B930" s="2"/>
      <c r="C930" s="2"/>
      <c r="D930" s="2"/>
      <c r="E930" s="25"/>
      <c r="F930" s="26"/>
      <c r="G930" s="2"/>
      <c r="H930" s="2"/>
      <c r="I930" s="124"/>
      <c r="J930" s="122"/>
      <c r="K930" s="122"/>
      <c r="L930" s="122"/>
      <c r="M930" s="2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2.75" customHeight="1" x14ac:dyDescent="0.25">
      <c r="A931" s="2"/>
      <c r="B931" s="2"/>
      <c r="C931" s="2"/>
      <c r="D931" s="2"/>
      <c r="E931" s="25"/>
      <c r="F931" s="26"/>
      <c r="G931" s="2"/>
      <c r="H931" s="2"/>
      <c r="I931" s="124"/>
      <c r="J931" s="122"/>
      <c r="K931" s="122"/>
      <c r="L931" s="122"/>
      <c r="M931" s="2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2.75" customHeight="1" x14ac:dyDescent="0.25">
      <c r="A932" s="2"/>
      <c r="B932" s="2"/>
      <c r="C932" s="2"/>
      <c r="D932" s="2"/>
      <c r="E932" s="25"/>
      <c r="F932" s="26"/>
      <c r="G932" s="2"/>
      <c r="H932" s="2"/>
      <c r="I932" s="124"/>
      <c r="J932" s="122"/>
      <c r="K932" s="122"/>
      <c r="L932" s="122"/>
      <c r="M932" s="2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2.75" customHeight="1" x14ac:dyDescent="0.25">
      <c r="A933" s="2"/>
      <c r="B933" s="2"/>
      <c r="C933" s="2"/>
      <c r="D933" s="2"/>
      <c r="E933" s="25"/>
      <c r="F933" s="26"/>
      <c r="G933" s="2"/>
      <c r="H933" s="2"/>
      <c r="I933" s="124"/>
      <c r="J933" s="122"/>
      <c r="K933" s="122"/>
      <c r="L933" s="122"/>
      <c r="M933" s="2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2.75" customHeight="1" x14ac:dyDescent="0.25">
      <c r="A934" s="2"/>
      <c r="B934" s="2"/>
      <c r="C934" s="2"/>
      <c r="D934" s="2"/>
      <c r="E934" s="25"/>
      <c r="F934" s="26"/>
      <c r="G934" s="2"/>
      <c r="H934" s="2"/>
      <c r="I934" s="124"/>
      <c r="J934" s="122"/>
      <c r="K934" s="122"/>
      <c r="L934" s="122"/>
      <c r="M934" s="2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2.75" customHeight="1" x14ac:dyDescent="0.25">
      <c r="A935" s="2"/>
      <c r="B935" s="2"/>
      <c r="C935" s="2"/>
      <c r="D935" s="2"/>
      <c r="E935" s="25"/>
      <c r="F935" s="26"/>
      <c r="G935" s="2"/>
      <c r="H935" s="2"/>
      <c r="I935" s="124"/>
      <c r="J935" s="122"/>
      <c r="K935" s="122"/>
      <c r="L935" s="122"/>
      <c r="M935" s="2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2.75" customHeight="1" x14ac:dyDescent="0.25">
      <c r="A936" s="2"/>
      <c r="B936" s="2"/>
      <c r="C936" s="2"/>
      <c r="D936" s="2"/>
      <c r="E936" s="25"/>
      <c r="F936" s="26"/>
      <c r="G936" s="2"/>
      <c r="H936" s="2"/>
      <c r="I936" s="124"/>
      <c r="J936" s="122"/>
      <c r="K936" s="122"/>
      <c r="L936" s="122"/>
      <c r="M936" s="2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2.75" customHeight="1" x14ac:dyDescent="0.25">
      <c r="A937" s="2"/>
      <c r="B937" s="2"/>
      <c r="C937" s="2"/>
      <c r="D937" s="2"/>
      <c r="E937" s="25"/>
      <c r="F937" s="26"/>
      <c r="G937" s="2"/>
      <c r="H937" s="2"/>
      <c r="I937" s="124"/>
      <c r="J937" s="122"/>
      <c r="K937" s="122"/>
      <c r="L937" s="122"/>
      <c r="M937" s="2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2.75" customHeight="1" x14ac:dyDescent="0.25">
      <c r="A938" s="2"/>
      <c r="B938" s="2"/>
      <c r="C938" s="2"/>
      <c r="D938" s="2"/>
      <c r="E938" s="25"/>
      <c r="F938" s="26"/>
      <c r="G938" s="2"/>
      <c r="H938" s="2"/>
      <c r="I938" s="124"/>
      <c r="J938" s="122"/>
      <c r="K938" s="122"/>
      <c r="L938" s="122"/>
      <c r="M938" s="2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2.75" customHeight="1" x14ac:dyDescent="0.25">
      <c r="A939" s="2"/>
      <c r="B939" s="2"/>
      <c r="C939" s="2"/>
      <c r="D939" s="2"/>
      <c r="E939" s="25"/>
      <c r="F939" s="26"/>
      <c r="G939" s="2"/>
      <c r="H939" s="2"/>
      <c r="I939" s="124"/>
      <c r="J939" s="122"/>
      <c r="K939" s="122"/>
      <c r="L939" s="122"/>
      <c r="M939" s="2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2.75" customHeight="1" x14ac:dyDescent="0.25">
      <c r="A940" s="2"/>
      <c r="B940" s="2"/>
      <c r="C940" s="2"/>
      <c r="D940" s="2"/>
      <c r="E940" s="25"/>
      <c r="F940" s="26"/>
      <c r="G940" s="2"/>
      <c r="H940" s="2"/>
      <c r="I940" s="124"/>
      <c r="J940" s="122"/>
      <c r="K940" s="122"/>
      <c r="L940" s="122"/>
      <c r="M940" s="2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2.75" customHeight="1" x14ac:dyDescent="0.25">
      <c r="A941" s="2"/>
      <c r="B941" s="2"/>
      <c r="C941" s="2"/>
      <c r="D941" s="2"/>
      <c r="E941" s="25"/>
      <c r="F941" s="26"/>
      <c r="G941" s="2"/>
      <c r="H941" s="2"/>
      <c r="I941" s="124"/>
      <c r="J941" s="122"/>
      <c r="K941" s="122"/>
      <c r="L941" s="122"/>
      <c r="M941" s="2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2.75" customHeight="1" x14ac:dyDescent="0.25">
      <c r="A942" s="2"/>
      <c r="B942" s="2"/>
      <c r="C942" s="2"/>
      <c r="D942" s="2"/>
      <c r="E942" s="25"/>
      <c r="F942" s="26"/>
      <c r="G942" s="2"/>
      <c r="H942" s="2"/>
      <c r="I942" s="124"/>
      <c r="J942" s="122"/>
      <c r="K942" s="122"/>
      <c r="L942" s="122"/>
      <c r="M942" s="2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2.75" customHeight="1" x14ac:dyDescent="0.25">
      <c r="A943" s="2"/>
      <c r="B943" s="2"/>
      <c r="C943" s="2"/>
      <c r="D943" s="2"/>
      <c r="E943" s="25"/>
      <c r="F943" s="26"/>
      <c r="G943" s="2"/>
      <c r="H943" s="2"/>
      <c r="I943" s="124"/>
      <c r="J943" s="122"/>
      <c r="K943" s="122"/>
      <c r="L943" s="122"/>
      <c r="M943" s="2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2.75" customHeight="1" x14ac:dyDescent="0.25">
      <c r="A944" s="2"/>
      <c r="B944" s="2"/>
      <c r="C944" s="2"/>
      <c r="D944" s="2"/>
      <c r="E944" s="25"/>
      <c r="F944" s="26"/>
      <c r="G944" s="2"/>
      <c r="H944" s="2"/>
      <c r="I944" s="124"/>
      <c r="J944" s="122"/>
      <c r="K944" s="122"/>
      <c r="L944" s="122"/>
      <c r="M944" s="2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2.75" customHeight="1" x14ac:dyDescent="0.25">
      <c r="A945" s="2"/>
      <c r="B945" s="2"/>
      <c r="C945" s="2"/>
      <c r="D945" s="2"/>
      <c r="E945" s="25"/>
      <c r="F945" s="26"/>
      <c r="G945" s="2"/>
      <c r="H945" s="2"/>
      <c r="I945" s="124"/>
      <c r="J945" s="122"/>
      <c r="K945" s="122"/>
      <c r="L945" s="122"/>
      <c r="M945" s="2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2.75" customHeight="1" x14ac:dyDescent="0.25">
      <c r="A946" s="2"/>
      <c r="B946" s="2"/>
      <c r="C946" s="2"/>
      <c r="D946" s="2"/>
      <c r="E946" s="25"/>
      <c r="F946" s="26"/>
      <c r="G946" s="2"/>
      <c r="H946" s="2"/>
      <c r="I946" s="124"/>
      <c r="J946" s="122"/>
      <c r="K946" s="122"/>
      <c r="L946" s="122"/>
      <c r="M946" s="2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2.75" customHeight="1" x14ac:dyDescent="0.25">
      <c r="A947" s="2"/>
      <c r="B947" s="2"/>
      <c r="C947" s="2"/>
      <c r="D947" s="2"/>
      <c r="E947" s="25"/>
      <c r="F947" s="26"/>
      <c r="G947" s="2"/>
      <c r="H947" s="2"/>
      <c r="I947" s="124"/>
      <c r="J947" s="122"/>
      <c r="K947" s="122"/>
      <c r="L947" s="122"/>
      <c r="M947" s="2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2.75" customHeight="1" x14ac:dyDescent="0.25">
      <c r="A948" s="2"/>
      <c r="B948" s="2"/>
      <c r="C948" s="2"/>
      <c r="D948" s="2"/>
      <c r="E948" s="25"/>
      <c r="F948" s="26"/>
      <c r="G948" s="2"/>
      <c r="H948" s="2"/>
      <c r="I948" s="124"/>
      <c r="J948" s="122"/>
      <c r="K948" s="122"/>
      <c r="L948" s="122"/>
      <c r="M948" s="2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2.75" customHeight="1" x14ac:dyDescent="0.25">
      <c r="A949" s="2"/>
      <c r="B949" s="2"/>
      <c r="C949" s="2"/>
      <c r="D949" s="2"/>
      <c r="E949" s="25"/>
      <c r="F949" s="26"/>
      <c r="G949" s="2"/>
      <c r="H949" s="2"/>
      <c r="I949" s="124"/>
      <c r="J949" s="122"/>
      <c r="K949" s="122"/>
      <c r="L949" s="122"/>
      <c r="M949" s="2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2.75" customHeight="1" x14ac:dyDescent="0.25">
      <c r="A950" s="2"/>
      <c r="B950" s="2"/>
      <c r="C950" s="2"/>
      <c r="D950" s="2"/>
      <c r="E950" s="25"/>
      <c r="F950" s="26"/>
      <c r="G950" s="2"/>
      <c r="H950" s="2"/>
      <c r="I950" s="124"/>
      <c r="J950" s="122"/>
      <c r="K950" s="122"/>
      <c r="L950" s="122"/>
      <c r="M950" s="2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2.75" customHeight="1" x14ac:dyDescent="0.25">
      <c r="A951" s="2"/>
      <c r="B951" s="2"/>
      <c r="C951" s="2"/>
      <c r="D951" s="2"/>
      <c r="E951" s="25"/>
      <c r="F951" s="26"/>
      <c r="G951" s="2"/>
      <c r="H951" s="2"/>
      <c r="I951" s="124"/>
      <c r="J951" s="122"/>
      <c r="K951" s="122"/>
      <c r="L951" s="122"/>
      <c r="M951" s="2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2.75" customHeight="1" x14ac:dyDescent="0.25">
      <c r="A952" s="2"/>
      <c r="B952" s="2"/>
      <c r="C952" s="2"/>
      <c r="D952" s="2"/>
      <c r="E952" s="25"/>
      <c r="F952" s="26"/>
      <c r="G952" s="2"/>
      <c r="H952" s="2"/>
      <c r="I952" s="124"/>
      <c r="J952" s="122"/>
      <c r="K952" s="122"/>
      <c r="L952" s="122"/>
      <c r="M952" s="2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2.75" customHeight="1" x14ac:dyDescent="0.25">
      <c r="A953" s="2"/>
      <c r="B953" s="2"/>
      <c r="C953" s="2"/>
      <c r="D953" s="2"/>
      <c r="E953" s="25"/>
      <c r="F953" s="26"/>
      <c r="G953" s="2"/>
      <c r="H953" s="2"/>
      <c r="I953" s="124"/>
      <c r="J953" s="122"/>
      <c r="K953" s="122"/>
      <c r="L953" s="122"/>
      <c r="M953" s="2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2.75" customHeight="1" x14ac:dyDescent="0.25">
      <c r="A954" s="2"/>
      <c r="B954" s="2"/>
      <c r="C954" s="2"/>
      <c r="D954" s="2"/>
      <c r="E954" s="25"/>
      <c r="F954" s="26"/>
      <c r="G954" s="2"/>
      <c r="H954" s="2"/>
      <c r="I954" s="124"/>
      <c r="J954" s="122"/>
      <c r="K954" s="122"/>
      <c r="L954" s="122"/>
      <c r="M954" s="2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2.75" customHeight="1" x14ac:dyDescent="0.25">
      <c r="A955" s="2"/>
      <c r="B955" s="2"/>
      <c r="C955" s="2"/>
      <c r="D955" s="2"/>
      <c r="E955" s="25"/>
      <c r="F955" s="26"/>
      <c r="G955" s="2"/>
      <c r="H955" s="2"/>
      <c r="I955" s="124"/>
      <c r="J955" s="122"/>
      <c r="K955" s="122"/>
      <c r="L955" s="122"/>
      <c r="M955" s="2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2.75" customHeight="1" x14ac:dyDescent="0.25">
      <c r="A956" s="2"/>
      <c r="B956" s="2"/>
      <c r="C956" s="2"/>
      <c r="D956" s="2"/>
      <c r="E956" s="25"/>
      <c r="F956" s="26"/>
      <c r="G956" s="2"/>
      <c r="H956" s="2"/>
      <c r="I956" s="124"/>
      <c r="J956" s="122"/>
      <c r="K956" s="122"/>
      <c r="L956" s="122"/>
      <c r="M956" s="2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2.75" customHeight="1" x14ac:dyDescent="0.25">
      <c r="A957" s="2"/>
      <c r="B957" s="2"/>
      <c r="C957" s="2"/>
      <c r="D957" s="2"/>
      <c r="E957" s="25"/>
      <c r="F957" s="26"/>
      <c r="G957" s="2"/>
      <c r="H957" s="2"/>
      <c r="I957" s="124"/>
      <c r="J957" s="122"/>
      <c r="K957" s="122"/>
      <c r="L957" s="122"/>
      <c r="M957" s="2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2.75" customHeight="1" x14ac:dyDescent="0.25">
      <c r="A958" s="2"/>
      <c r="B958" s="2"/>
      <c r="C958" s="2"/>
      <c r="D958" s="2"/>
      <c r="E958" s="25"/>
      <c r="F958" s="26"/>
      <c r="G958" s="2"/>
      <c r="H958" s="2"/>
      <c r="I958" s="124"/>
      <c r="J958" s="122"/>
      <c r="K958" s="122"/>
      <c r="L958" s="122"/>
      <c r="M958" s="2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2.75" customHeight="1" x14ac:dyDescent="0.25">
      <c r="A959" s="2"/>
      <c r="B959" s="2"/>
      <c r="C959" s="2"/>
      <c r="D959" s="2"/>
      <c r="E959" s="25"/>
      <c r="F959" s="26"/>
      <c r="G959" s="2"/>
      <c r="H959" s="2"/>
      <c r="I959" s="124"/>
      <c r="J959" s="122"/>
      <c r="K959" s="122"/>
      <c r="L959" s="122"/>
      <c r="M959" s="2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2.75" customHeight="1" x14ac:dyDescent="0.25">
      <c r="A960" s="2"/>
      <c r="B960" s="2"/>
      <c r="C960" s="2"/>
      <c r="D960" s="2"/>
      <c r="E960" s="25"/>
      <c r="F960" s="26"/>
      <c r="G960" s="2"/>
      <c r="H960" s="2"/>
      <c r="I960" s="124"/>
      <c r="J960" s="122"/>
      <c r="K960" s="122"/>
      <c r="L960" s="122"/>
      <c r="M960" s="2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2.75" customHeight="1" x14ac:dyDescent="0.25">
      <c r="A961" s="2"/>
      <c r="B961" s="2"/>
      <c r="C961" s="2"/>
      <c r="D961" s="2"/>
      <c r="E961" s="25"/>
      <c r="F961" s="26"/>
      <c r="G961" s="2"/>
      <c r="H961" s="2"/>
      <c r="I961" s="124"/>
      <c r="J961" s="122"/>
      <c r="K961" s="122"/>
      <c r="L961" s="122"/>
      <c r="M961" s="2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2.75" customHeight="1" x14ac:dyDescent="0.25">
      <c r="A962" s="2"/>
      <c r="B962" s="2"/>
      <c r="C962" s="2"/>
      <c r="D962" s="2"/>
      <c r="E962" s="25"/>
      <c r="F962" s="26"/>
      <c r="G962" s="2"/>
      <c r="H962" s="2"/>
      <c r="I962" s="124"/>
      <c r="J962" s="122"/>
      <c r="K962" s="122"/>
      <c r="L962" s="122"/>
      <c r="M962" s="2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2.75" customHeight="1" x14ac:dyDescent="0.25">
      <c r="A963" s="2"/>
      <c r="B963" s="2"/>
      <c r="C963" s="2"/>
      <c r="D963" s="2"/>
      <c r="E963" s="25"/>
      <c r="F963" s="26"/>
      <c r="G963" s="2"/>
      <c r="H963" s="2"/>
      <c r="I963" s="124"/>
      <c r="J963" s="122"/>
      <c r="K963" s="122"/>
      <c r="L963" s="122"/>
      <c r="M963" s="2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2.75" customHeight="1" x14ac:dyDescent="0.25">
      <c r="A964" s="2"/>
      <c r="B964" s="2"/>
      <c r="C964" s="2"/>
      <c r="D964" s="2"/>
      <c r="E964" s="25"/>
      <c r="F964" s="26"/>
      <c r="G964" s="2"/>
      <c r="H964" s="2"/>
      <c r="I964" s="124"/>
      <c r="J964" s="122"/>
      <c r="K964" s="122"/>
      <c r="L964" s="122"/>
      <c r="M964" s="2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2.75" customHeight="1" x14ac:dyDescent="0.25">
      <c r="A965" s="2"/>
      <c r="B965" s="2"/>
      <c r="C965" s="2"/>
      <c r="D965" s="2"/>
      <c r="E965" s="25"/>
      <c r="F965" s="26"/>
      <c r="G965" s="2"/>
      <c r="H965" s="2"/>
      <c r="I965" s="124"/>
      <c r="J965" s="122"/>
      <c r="K965" s="122"/>
      <c r="L965" s="122"/>
      <c r="M965" s="2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2.75" customHeight="1" x14ac:dyDescent="0.25">
      <c r="A966" s="2"/>
      <c r="B966" s="2"/>
      <c r="C966" s="2"/>
      <c r="D966" s="2"/>
      <c r="E966" s="25"/>
      <c r="F966" s="26"/>
      <c r="G966" s="2"/>
      <c r="H966" s="2"/>
      <c r="I966" s="124"/>
      <c r="J966" s="122"/>
      <c r="K966" s="122"/>
      <c r="L966" s="122"/>
      <c r="M966" s="2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2.75" customHeight="1" x14ac:dyDescent="0.25">
      <c r="A967" s="2"/>
      <c r="B967" s="2"/>
      <c r="C967" s="2"/>
      <c r="D967" s="2"/>
      <c r="E967" s="25"/>
      <c r="F967" s="26"/>
      <c r="G967" s="2"/>
      <c r="H967" s="2"/>
      <c r="I967" s="124"/>
      <c r="J967" s="122"/>
      <c r="K967" s="122"/>
      <c r="L967" s="122"/>
      <c r="M967" s="2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2.75" customHeight="1" x14ac:dyDescent="0.25">
      <c r="A968" s="2"/>
      <c r="B968" s="2"/>
      <c r="C968" s="2"/>
      <c r="D968" s="2"/>
      <c r="E968" s="25"/>
      <c r="F968" s="26"/>
      <c r="G968" s="2"/>
      <c r="H968" s="2"/>
      <c r="I968" s="124"/>
      <c r="J968" s="122"/>
      <c r="K968" s="122"/>
      <c r="L968" s="122"/>
      <c r="M968" s="2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2.75" customHeight="1" x14ac:dyDescent="0.25">
      <c r="A969" s="2"/>
      <c r="B969" s="2"/>
      <c r="C969" s="2"/>
      <c r="D969" s="2"/>
      <c r="E969" s="25"/>
      <c r="F969" s="26"/>
      <c r="G969" s="2"/>
      <c r="H969" s="2"/>
      <c r="I969" s="124"/>
      <c r="J969" s="122"/>
      <c r="K969" s="122"/>
      <c r="L969" s="122"/>
      <c r="M969" s="2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2.75" customHeight="1" x14ac:dyDescent="0.25">
      <c r="A970" s="2"/>
      <c r="B970" s="2"/>
      <c r="C970" s="2"/>
      <c r="D970" s="2"/>
      <c r="E970" s="25"/>
      <c r="F970" s="26"/>
      <c r="G970" s="2"/>
      <c r="H970" s="2"/>
      <c r="I970" s="124"/>
      <c r="J970" s="122"/>
      <c r="K970" s="122"/>
      <c r="L970" s="122"/>
      <c r="M970" s="2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2.75" customHeight="1" x14ac:dyDescent="0.25">
      <c r="A971" s="2"/>
      <c r="B971" s="2"/>
      <c r="C971" s="2"/>
      <c r="D971" s="2"/>
      <c r="E971" s="25"/>
      <c r="F971" s="26"/>
      <c r="G971" s="2"/>
      <c r="H971" s="2"/>
      <c r="I971" s="124"/>
      <c r="J971" s="122"/>
      <c r="K971" s="122"/>
      <c r="L971" s="122"/>
      <c r="M971" s="2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2.75" customHeight="1" x14ac:dyDescent="0.25">
      <c r="A972" s="2"/>
      <c r="B972" s="2"/>
      <c r="C972" s="2"/>
      <c r="D972" s="2"/>
      <c r="E972" s="25"/>
      <c r="F972" s="26"/>
      <c r="G972" s="2"/>
      <c r="H972" s="2"/>
      <c r="I972" s="124"/>
      <c r="J972" s="122"/>
      <c r="K972" s="122"/>
      <c r="L972" s="122"/>
      <c r="M972" s="2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2.75" customHeight="1" x14ac:dyDescent="0.25">
      <c r="A973" s="2"/>
      <c r="B973" s="2"/>
      <c r="C973" s="2"/>
      <c r="D973" s="2"/>
      <c r="E973" s="25"/>
      <c r="F973" s="26"/>
      <c r="G973" s="2"/>
      <c r="H973" s="2"/>
      <c r="I973" s="124"/>
      <c r="J973" s="122"/>
      <c r="K973" s="122"/>
      <c r="L973" s="122"/>
      <c r="M973" s="2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2.75" customHeight="1" x14ac:dyDescent="0.25">
      <c r="A974" s="2"/>
      <c r="B974" s="2"/>
      <c r="C974" s="2"/>
      <c r="D974" s="2"/>
      <c r="E974" s="25"/>
      <c r="F974" s="26"/>
      <c r="G974" s="2"/>
      <c r="H974" s="2"/>
      <c r="I974" s="124"/>
      <c r="J974" s="122"/>
      <c r="K974" s="122"/>
      <c r="L974" s="122"/>
      <c r="M974" s="2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2.75" customHeight="1" x14ac:dyDescent="0.25">
      <c r="A975" s="2"/>
      <c r="B975" s="2"/>
      <c r="C975" s="2"/>
      <c r="D975" s="2"/>
      <c r="E975" s="25"/>
      <c r="F975" s="26"/>
      <c r="G975" s="2"/>
      <c r="H975" s="2"/>
      <c r="I975" s="124"/>
      <c r="J975" s="122"/>
      <c r="K975" s="122"/>
      <c r="L975" s="122"/>
      <c r="M975" s="2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2.75" customHeight="1" x14ac:dyDescent="0.25">
      <c r="A976" s="2"/>
      <c r="B976" s="2"/>
      <c r="C976" s="2"/>
      <c r="D976" s="2"/>
      <c r="E976" s="25"/>
      <c r="F976" s="26"/>
      <c r="G976" s="2"/>
      <c r="H976" s="2"/>
      <c r="I976" s="124"/>
      <c r="J976" s="122"/>
      <c r="K976" s="122"/>
      <c r="L976" s="122"/>
      <c r="M976" s="2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2.75" customHeight="1" x14ac:dyDescent="0.25">
      <c r="A977" s="2"/>
      <c r="B977" s="2"/>
      <c r="C977" s="2"/>
      <c r="D977" s="2"/>
      <c r="E977" s="25"/>
      <c r="F977" s="26"/>
      <c r="G977" s="2"/>
      <c r="H977" s="2"/>
      <c r="I977" s="124"/>
      <c r="J977" s="122"/>
      <c r="K977" s="122"/>
      <c r="L977" s="122"/>
      <c r="M977" s="2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2.75" customHeight="1" x14ac:dyDescent="0.25">
      <c r="A978" s="2"/>
      <c r="B978" s="2"/>
      <c r="C978" s="2"/>
      <c r="D978" s="2"/>
      <c r="E978" s="25"/>
      <c r="F978" s="26"/>
      <c r="G978" s="2"/>
      <c r="H978" s="2"/>
      <c r="I978" s="124"/>
      <c r="J978" s="122"/>
      <c r="K978" s="122"/>
      <c r="L978" s="122"/>
      <c r="M978" s="2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2.75" customHeight="1" x14ac:dyDescent="0.25">
      <c r="A979" s="2"/>
      <c r="B979" s="2"/>
      <c r="C979" s="2"/>
      <c r="D979" s="2"/>
      <c r="E979" s="25"/>
      <c r="F979" s="26"/>
      <c r="G979" s="2"/>
      <c r="H979" s="2"/>
      <c r="I979" s="124"/>
      <c r="J979" s="122"/>
      <c r="K979" s="122"/>
      <c r="L979" s="122"/>
      <c r="M979" s="2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2.75" customHeight="1" x14ac:dyDescent="0.25">
      <c r="A980" s="2"/>
      <c r="B980" s="2"/>
      <c r="C980" s="2"/>
      <c r="D980" s="2"/>
      <c r="E980" s="25"/>
      <c r="F980" s="26"/>
      <c r="G980" s="2"/>
      <c r="H980" s="2"/>
      <c r="I980" s="124"/>
      <c r="J980" s="122"/>
      <c r="K980" s="122"/>
      <c r="L980" s="122"/>
      <c r="M980" s="2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2.75" customHeight="1" x14ac:dyDescent="0.25">
      <c r="A981" s="2"/>
      <c r="B981" s="2"/>
      <c r="C981" s="2"/>
      <c r="D981" s="2"/>
      <c r="E981" s="25"/>
      <c r="F981" s="26"/>
      <c r="G981" s="2"/>
      <c r="H981" s="2"/>
      <c r="I981" s="124"/>
      <c r="J981" s="122"/>
      <c r="K981" s="122"/>
      <c r="L981" s="122"/>
      <c r="M981" s="2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2.75" customHeight="1" x14ac:dyDescent="0.25">
      <c r="A982" s="2"/>
      <c r="B982" s="2"/>
      <c r="C982" s="2"/>
      <c r="D982" s="2"/>
      <c r="E982" s="25"/>
      <c r="F982" s="26"/>
      <c r="G982" s="2"/>
      <c r="H982" s="2"/>
      <c r="I982" s="124"/>
      <c r="J982" s="122"/>
      <c r="K982" s="122"/>
      <c r="L982" s="122"/>
      <c r="M982" s="2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2.75" customHeight="1" x14ac:dyDescent="0.25">
      <c r="A983" s="2"/>
      <c r="B983" s="2"/>
      <c r="C983" s="2"/>
      <c r="D983" s="2"/>
      <c r="E983" s="25"/>
      <c r="F983" s="26"/>
      <c r="G983" s="2"/>
      <c r="H983" s="2"/>
      <c r="I983" s="124"/>
      <c r="J983" s="122"/>
      <c r="K983" s="122"/>
      <c r="L983" s="122"/>
      <c r="M983" s="2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2.75" customHeight="1" x14ac:dyDescent="0.25">
      <c r="A984" s="2"/>
      <c r="B984" s="2"/>
      <c r="C984" s="2"/>
      <c r="D984" s="2"/>
      <c r="E984" s="25"/>
      <c r="F984" s="26"/>
      <c r="G984" s="2"/>
      <c r="H984" s="2"/>
      <c r="I984" s="124"/>
      <c r="J984" s="122"/>
      <c r="K984" s="122"/>
      <c r="L984" s="122"/>
      <c r="M984" s="2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2.75" customHeight="1" x14ac:dyDescent="0.25">
      <c r="A985" s="2"/>
      <c r="B985" s="2"/>
      <c r="C985" s="2"/>
      <c r="D985" s="2"/>
      <c r="E985" s="25"/>
      <c r="F985" s="26"/>
      <c r="G985" s="2"/>
      <c r="H985" s="2"/>
      <c r="I985" s="124"/>
      <c r="J985" s="122"/>
      <c r="K985" s="122"/>
      <c r="L985" s="122"/>
      <c r="M985" s="2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2.75" customHeight="1" x14ac:dyDescent="0.25">
      <c r="A986" s="2"/>
      <c r="B986" s="2"/>
      <c r="C986" s="2"/>
      <c r="D986" s="2"/>
      <c r="E986" s="25"/>
      <c r="F986" s="26"/>
      <c r="G986" s="2"/>
      <c r="H986" s="2"/>
      <c r="I986" s="124"/>
      <c r="J986" s="122"/>
      <c r="K986" s="122"/>
      <c r="L986" s="122"/>
      <c r="M986" s="2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2.75" customHeight="1" x14ac:dyDescent="0.25">
      <c r="A987" s="2"/>
      <c r="B987" s="2"/>
      <c r="C987" s="2"/>
      <c r="D987" s="2"/>
      <c r="E987" s="25"/>
      <c r="F987" s="26"/>
      <c r="G987" s="2"/>
      <c r="H987" s="2"/>
      <c r="I987" s="124"/>
      <c r="J987" s="122"/>
      <c r="K987" s="122"/>
      <c r="L987" s="122"/>
      <c r="M987" s="2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2.75" customHeight="1" x14ac:dyDescent="0.25">
      <c r="A988" s="2"/>
      <c r="B988" s="2"/>
      <c r="C988" s="2"/>
      <c r="D988" s="2"/>
      <c r="E988" s="25"/>
      <c r="F988" s="26"/>
      <c r="G988" s="2"/>
      <c r="H988" s="2"/>
      <c r="I988" s="124"/>
      <c r="J988" s="122"/>
      <c r="K988" s="122"/>
      <c r="L988" s="122"/>
      <c r="M988" s="2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2.75" customHeight="1" x14ac:dyDescent="0.25">
      <c r="A989" s="2"/>
      <c r="B989" s="2"/>
      <c r="C989" s="2"/>
      <c r="D989" s="2"/>
      <c r="E989" s="25"/>
      <c r="F989" s="26"/>
      <c r="G989" s="2"/>
      <c r="H989" s="2"/>
      <c r="I989" s="124"/>
      <c r="J989" s="122"/>
      <c r="K989" s="122"/>
      <c r="L989" s="122"/>
      <c r="M989" s="2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2.75" customHeight="1" x14ac:dyDescent="0.25">
      <c r="A990" s="2"/>
      <c r="B990" s="2"/>
      <c r="C990" s="2"/>
      <c r="D990" s="2"/>
      <c r="E990" s="25"/>
      <c r="F990" s="26"/>
      <c r="G990" s="2"/>
      <c r="H990" s="2"/>
      <c r="I990" s="124"/>
      <c r="J990" s="122"/>
      <c r="K990" s="122"/>
      <c r="L990" s="122"/>
      <c r="M990" s="2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2.75" customHeight="1" x14ac:dyDescent="0.25">
      <c r="A991" s="2"/>
      <c r="B991" s="2"/>
      <c r="C991" s="2"/>
      <c r="D991" s="2"/>
      <c r="E991" s="25"/>
      <c r="F991" s="26"/>
      <c r="G991" s="2"/>
      <c r="H991" s="2"/>
      <c r="I991" s="124"/>
      <c r="J991" s="122"/>
      <c r="K991" s="122"/>
      <c r="L991" s="122"/>
      <c r="M991" s="2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2.75" customHeight="1" x14ac:dyDescent="0.25">
      <c r="A992" s="2"/>
      <c r="B992" s="2"/>
      <c r="C992" s="2"/>
      <c r="D992" s="2"/>
      <c r="E992" s="25"/>
      <c r="F992" s="26"/>
      <c r="G992" s="2"/>
      <c r="H992" s="2"/>
      <c r="I992" s="124"/>
      <c r="J992" s="122"/>
      <c r="K992" s="122"/>
      <c r="L992" s="122"/>
      <c r="M992" s="2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2.75" customHeight="1" x14ac:dyDescent="0.25">
      <c r="A993" s="2"/>
      <c r="B993" s="2"/>
      <c r="C993" s="2"/>
      <c r="D993" s="2"/>
      <c r="E993" s="25"/>
      <c r="F993" s="26"/>
      <c r="G993" s="2"/>
      <c r="H993" s="2"/>
      <c r="I993" s="124"/>
      <c r="J993" s="122"/>
      <c r="K993" s="122"/>
      <c r="L993" s="122"/>
      <c r="M993" s="2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2.75" customHeight="1" x14ac:dyDescent="0.25">
      <c r="A994" s="2"/>
      <c r="B994" s="2"/>
      <c r="C994" s="2"/>
      <c r="D994" s="2"/>
      <c r="E994" s="25"/>
      <c r="F994" s="26"/>
      <c r="G994" s="2"/>
      <c r="H994" s="2"/>
      <c r="I994" s="124"/>
      <c r="J994" s="122"/>
      <c r="K994" s="122"/>
      <c r="L994" s="122"/>
      <c r="M994" s="2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2.75" customHeight="1" x14ac:dyDescent="0.25">
      <c r="A995" s="2"/>
      <c r="B995" s="2"/>
      <c r="C995" s="2"/>
      <c r="D995" s="2"/>
      <c r="E995" s="25"/>
      <c r="F995" s="26"/>
      <c r="G995" s="2"/>
      <c r="H995" s="2"/>
      <c r="I995" s="124"/>
      <c r="J995" s="122"/>
      <c r="K995" s="122"/>
      <c r="L995" s="122"/>
      <c r="M995" s="2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2.75" customHeight="1" x14ac:dyDescent="0.25">
      <c r="A996" s="2"/>
      <c r="B996" s="2"/>
      <c r="C996" s="2"/>
      <c r="D996" s="2"/>
      <c r="E996" s="25"/>
      <c r="F996" s="26"/>
      <c r="G996" s="2"/>
      <c r="H996" s="2"/>
      <c r="I996" s="124"/>
      <c r="J996" s="122"/>
      <c r="K996" s="122"/>
      <c r="L996" s="122"/>
      <c r="M996" s="2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2.75" customHeight="1" x14ac:dyDescent="0.25">
      <c r="A997" s="2"/>
      <c r="B997" s="2"/>
      <c r="C997" s="2"/>
      <c r="D997" s="2"/>
      <c r="E997" s="25"/>
      <c r="F997" s="26"/>
      <c r="G997" s="2"/>
      <c r="H997" s="2"/>
      <c r="I997" s="124"/>
      <c r="J997" s="122"/>
      <c r="K997" s="122"/>
      <c r="L997" s="122"/>
      <c r="M997" s="2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2.75" customHeight="1" x14ac:dyDescent="0.25">
      <c r="A998" s="2"/>
      <c r="B998" s="2"/>
      <c r="C998" s="2"/>
      <c r="D998" s="2"/>
      <c r="E998" s="25"/>
      <c r="F998" s="26"/>
      <c r="G998" s="2"/>
      <c r="H998" s="2"/>
      <c r="I998" s="124"/>
      <c r="J998" s="122"/>
      <c r="K998" s="122"/>
      <c r="L998" s="122"/>
      <c r="M998" s="2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2.75" customHeight="1" x14ac:dyDescent="0.25">
      <c r="A999" s="2"/>
      <c r="B999" s="2"/>
      <c r="C999" s="2"/>
      <c r="D999" s="2"/>
      <c r="E999" s="25"/>
      <c r="F999" s="26"/>
      <c r="G999" s="2"/>
      <c r="H999" s="2"/>
      <c r="I999" s="124"/>
      <c r="J999" s="122"/>
      <c r="K999" s="122"/>
      <c r="L999" s="122"/>
      <c r="M999" s="2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2.75" customHeight="1" x14ac:dyDescent="0.25">
      <c r="A1000" s="2"/>
      <c r="B1000" s="2"/>
      <c r="C1000" s="2"/>
      <c r="D1000" s="2"/>
      <c r="E1000" s="25"/>
      <c r="F1000" s="26"/>
      <c r="G1000" s="2"/>
      <c r="H1000" s="2"/>
      <c r="I1000" s="124"/>
      <c r="J1000" s="122"/>
      <c r="K1000" s="122"/>
      <c r="L1000" s="122"/>
      <c r="M1000" s="2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2.75" customHeight="1" x14ac:dyDescent="0.25">
      <c r="A1001" s="2"/>
      <c r="B1001" s="2"/>
      <c r="C1001" s="2"/>
      <c r="D1001" s="2"/>
      <c r="E1001" s="25"/>
      <c r="F1001" s="26"/>
      <c r="G1001" s="2"/>
      <c r="H1001" s="2"/>
      <c r="I1001" s="124"/>
      <c r="J1001" s="122"/>
      <c r="K1001" s="122"/>
      <c r="L1001" s="122"/>
      <c r="M1001" s="2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 ht="12.75" customHeight="1" x14ac:dyDescent="0.25">
      <c r="A1002" s="2"/>
      <c r="B1002" s="2"/>
      <c r="C1002" s="2"/>
      <c r="D1002" s="2"/>
      <c r="E1002" s="25"/>
      <c r="F1002" s="26"/>
      <c r="G1002" s="2"/>
      <c r="H1002" s="2"/>
      <c r="I1002" s="124"/>
      <c r="J1002" s="122"/>
      <c r="K1002" s="122"/>
      <c r="L1002" s="122"/>
      <c r="M1002" s="2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  <row r="1003" spans="1:28" ht="12.75" customHeight="1" x14ac:dyDescent="0.25">
      <c r="A1003" s="2"/>
      <c r="B1003" s="2"/>
      <c r="C1003" s="2"/>
      <c r="D1003" s="2"/>
      <c r="E1003" s="25"/>
      <c r="F1003" s="26"/>
      <c r="G1003" s="2"/>
      <c r="H1003" s="2"/>
      <c r="I1003" s="124"/>
      <c r="J1003" s="122"/>
      <c r="K1003" s="122"/>
      <c r="L1003" s="122"/>
      <c r="M1003" s="2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</row>
    <row r="1004" spans="1:28" ht="12.75" customHeight="1" x14ac:dyDescent="0.25">
      <c r="A1004" s="2"/>
      <c r="B1004" s="2"/>
      <c r="C1004" s="2"/>
      <c r="D1004" s="2"/>
      <c r="E1004" s="25"/>
      <c r="F1004" s="26"/>
      <c r="G1004" s="2"/>
      <c r="H1004" s="2"/>
      <c r="I1004" s="124"/>
      <c r="J1004" s="122"/>
      <c r="K1004" s="122"/>
      <c r="L1004" s="122"/>
      <c r="M1004" s="2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</row>
    <row r="1005" spans="1:28" ht="12.75" customHeight="1" x14ac:dyDescent="0.25">
      <c r="A1005" s="2"/>
      <c r="B1005" s="2"/>
      <c r="C1005" s="2"/>
      <c r="D1005" s="2"/>
      <c r="E1005" s="25"/>
      <c r="F1005" s="26"/>
      <c r="G1005" s="2"/>
      <c r="H1005" s="2"/>
      <c r="I1005" s="124"/>
      <c r="J1005" s="122"/>
      <c r="K1005" s="122"/>
      <c r="L1005" s="122"/>
      <c r="M1005" s="2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</row>
    <row r="1006" spans="1:28" ht="12.75" customHeight="1" x14ac:dyDescent="0.25">
      <c r="A1006" s="2"/>
      <c r="B1006" s="2"/>
      <c r="C1006" s="2"/>
      <c r="D1006" s="2"/>
      <c r="E1006" s="25"/>
      <c r="F1006" s="26"/>
      <c r="G1006" s="2"/>
      <c r="H1006" s="2"/>
      <c r="I1006" s="124"/>
      <c r="J1006" s="122"/>
      <c r="K1006" s="122"/>
      <c r="L1006" s="122"/>
      <c r="M1006" s="2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</row>
    <row r="1007" spans="1:28" ht="12.75" customHeight="1" x14ac:dyDescent="0.25">
      <c r="A1007" s="2"/>
      <c r="B1007" s="2"/>
      <c r="C1007" s="2"/>
      <c r="D1007" s="2"/>
      <c r="E1007" s="25"/>
      <c r="F1007" s="26"/>
      <c r="G1007" s="2"/>
      <c r="H1007" s="2"/>
      <c r="I1007" s="124"/>
      <c r="J1007" s="122"/>
      <c r="K1007" s="122"/>
      <c r="L1007" s="122"/>
      <c r="M1007" s="2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</row>
    <row r="1008" spans="1:28" ht="12.75" customHeight="1" x14ac:dyDescent="0.25">
      <c r="A1008" s="2"/>
      <c r="B1008" s="2"/>
      <c r="C1008" s="2"/>
      <c r="D1008" s="2"/>
      <c r="E1008" s="25"/>
      <c r="F1008" s="26"/>
      <c r="G1008" s="2"/>
      <c r="H1008" s="2"/>
      <c r="I1008" s="124"/>
      <c r="J1008" s="122"/>
      <c r="K1008" s="122"/>
      <c r="L1008" s="122"/>
      <c r="M1008" s="2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</row>
    <row r="1009" spans="1:28" ht="12.75" customHeight="1" x14ac:dyDescent="0.25">
      <c r="A1009" s="2"/>
      <c r="B1009" s="2"/>
      <c r="C1009" s="2"/>
      <c r="D1009" s="2"/>
      <c r="E1009" s="25"/>
      <c r="F1009" s="26"/>
      <c r="G1009" s="2"/>
      <c r="H1009" s="2"/>
      <c r="I1009" s="124"/>
      <c r="J1009" s="122"/>
      <c r="K1009" s="122"/>
      <c r="L1009" s="122"/>
      <c r="M1009" s="2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</row>
    <row r="1010" spans="1:28" ht="12.75" customHeight="1" x14ac:dyDescent="0.25">
      <c r="A1010" s="2"/>
      <c r="B1010" s="2"/>
      <c r="C1010" s="2"/>
      <c r="D1010" s="2"/>
      <c r="E1010" s="25"/>
      <c r="F1010" s="26"/>
      <c r="G1010" s="2"/>
      <c r="H1010" s="2"/>
      <c r="I1010" s="124"/>
      <c r="J1010" s="122"/>
      <c r="K1010" s="122"/>
      <c r="L1010" s="122"/>
      <c r="M1010" s="2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</row>
    <row r="1011" spans="1:28" ht="12.75" customHeight="1" x14ac:dyDescent="0.25">
      <c r="A1011" s="2"/>
      <c r="B1011" s="2"/>
      <c r="C1011" s="2"/>
      <c r="D1011" s="2"/>
      <c r="E1011" s="25"/>
      <c r="F1011" s="26"/>
      <c r="G1011" s="2"/>
      <c r="H1011" s="2"/>
      <c r="I1011" s="124"/>
      <c r="J1011" s="122"/>
      <c r="K1011" s="122"/>
      <c r="L1011" s="122"/>
      <c r="M1011" s="2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</row>
    <row r="1012" spans="1:28" ht="12.75" customHeight="1" x14ac:dyDescent="0.25">
      <c r="A1012" s="2"/>
      <c r="B1012" s="2"/>
      <c r="C1012" s="2"/>
      <c r="D1012" s="2"/>
      <c r="E1012" s="25"/>
      <c r="F1012" s="26"/>
      <c r="G1012" s="2"/>
      <c r="H1012" s="2"/>
      <c r="I1012" s="124"/>
      <c r="J1012" s="122"/>
      <c r="K1012" s="122"/>
      <c r="L1012" s="122"/>
      <c r="M1012" s="2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</row>
    <row r="1013" spans="1:28" ht="12.75" customHeight="1" x14ac:dyDescent="0.25">
      <c r="A1013" s="2"/>
      <c r="B1013" s="2"/>
      <c r="C1013" s="2"/>
      <c r="D1013" s="2"/>
      <c r="E1013" s="25"/>
      <c r="F1013" s="26"/>
      <c r="G1013" s="2"/>
      <c r="H1013" s="2"/>
      <c r="I1013" s="124"/>
      <c r="J1013" s="122"/>
      <c r="K1013" s="122"/>
      <c r="L1013" s="122"/>
      <c r="M1013" s="2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</row>
    <row r="1014" spans="1:28" ht="12.75" customHeight="1" x14ac:dyDescent="0.25">
      <c r="A1014" s="2"/>
      <c r="B1014" s="2"/>
      <c r="C1014" s="2"/>
      <c r="D1014" s="2"/>
      <c r="E1014" s="25"/>
      <c r="F1014" s="26"/>
      <c r="G1014" s="2"/>
      <c r="H1014" s="2"/>
      <c r="I1014" s="124"/>
      <c r="J1014" s="122"/>
      <c r="K1014" s="122"/>
      <c r="L1014" s="122"/>
      <c r="M1014" s="2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</row>
    <row r="1015" spans="1:28" ht="12.75" customHeight="1" x14ac:dyDescent="0.25">
      <c r="A1015" s="2"/>
      <c r="B1015" s="2"/>
      <c r="C1015" s="2"/>
      <c r="D1015" s="2"/>
      <c r="E1015" s="25"/>
      <c r="F1015" s="26"/>
      <c r="G1015" s="2"/>
      <c r="H1015" s="2"/>
      <c r="I1015" s="124"/>
      <c r="J1015" s="122"/>
      <c r="K1015" s="122"/>
      <c r="L1015" s="122"/>
      <c r="M1015" s="2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</row>
    <row r="1016" spans="1:28" ht="12.75" customHeight="1" x14ac:dyDescent="0.25">
      <c r="A1016" s="2"/>
      <c r="B1016" s="2"/>
      <c r="C1016" s="2"/>
      <c r="D1016" s="2"/>
      <c r="E1016" s="25"/>
      <c r="F1016" s="26"/>
      <c r="G1016" s="2"/>
      <c r="H1016" s="2"/>
      <c r="I1016" s="124"/>
      <c r="J1016" s="122"/>
      <c r="K1016" s="122"/>
      <c r="L1016" s="122"/>
      <c r="M1016" s="2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</row>
    <row r="1017" spans="1:28" ht="12.75" customHeight="1" x14ac:dyDescent="0.25">
      <c r="A1017" s="2"/>
      <c r="B1017" s="2"/>
      <c r="C1017" s="2"/>
      <c r="D1017" s="2"/>
      <c r="E1017" s="25"/>
      <c r="F1017" s="26"/>
      <c r="G1017" s="2"/>
      <c r="H1017" s="2"/>
      <c r="I1017" s="124"/>
      <c r="J1017" s="122"/>
      <c r="K1017" s="122"/>
      <c r="L1017" s="122"/>
      <c r="M1017" s="2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</row>
    <row r="1018" spans="1:28" ht="12.75" customHeight="1" x14ac:dyDescent="0.25">
      <c r="A1018" s="2"/>
      <c r="B1018" s="2"/>
      <c r="C1018" s="2"/>
      <c r="D1018" s="2"/>
      <c r="E1018" s="25"/>
      <c r="F1018" s="26"/>
      <c r="G1018" s="2"/>
      <c r="H1018" s="2"/>
      <c r="I1018" s="124"/>
      <c r="J1018" s="122"/>
      <c r="K1018" s="122"/>
      <c r="L1018" s="122"/>
      <c r="M1018" s="2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</row>
    <row r="1019" spans="1:28" ht="12.75" customHeight="1" x14ac:dyDescent="0.25">
      <c r="A1019" s="2"/>
      <c r="B1019" s="2"/>
      <c r="C1019" s="2"/>
      <c r="D1019" s="2"/>
      <c r="E1019" s="25"/>
      <c r="F1019" s="26"/>
      <c r="G1019" s="2"/>
      <c r="H1019" s="2"/>
      <c r="I1019" s="124"/>
      <c r="J1019" s="122"/>
      <c r="K1019" s="122"/>
      <c r="L1019" s="122"/>
      <c r="M1019" s="2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</row>
    <row r="1020" spans="1:28" ht="12.75" customHeight="1" x14ac:dyDescent="0.25">
      <c r="A1020" s="2"/>
      <c r="B1020" s="2"/>
      <c r="C1020" s="2"/>
      <c r="D1020" s="2"/>
      <c r="E1020" s="25"/>
      <c r="F1020" s="26"/>
      <c r="G1020" s="2"/>
      <c r="H1020" s="2"/>
      <c r="I1020" s="124"/>
      <c r="J1020" s="122"/>
      <c r="K1020" s="122"/>
      <c r="L1020" s="122"/>
      <c r="M1020" s="2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</row>
    <row r="1021" spans="1:28" ht="12.75" customHeight="1" x14ac:dyDescent="0.25">
      <c r="A1021" s="2"/>
      <c r="B1021" s="2"/>
      <c r="C1021" s="2"/>
      <c r="D1021" s="2"/>
      <c r="E1021" s="25"/>
      <c r="F1021" s="26"/>
      <c r="G1021" s="2"/>
      <c r="H1021" s="2"/>
      <c r="I1021" s="124"/>
      <c r="J1021" s="122"/>
      <c r="K1021" s="122"/>
      <c r="L1021" s="122"/>
      <c r="M1021" s="2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</row>
    <row r="1022" spans="1:28" ht="12.75" customHeight="1" x14ac:dyDescent="0.25">
      <c r="A1022" s="2"/>
      <c r="B1022" s="2"/>
      <c r="C1022" s="2"/>
      <c r="D1022" s="2"/>
      <c r="E1022" s="25"/>
      <c r="F1022" s="26"/>
      <c r="G1022" s="2"/>
      <c r="H1022" s="2"/>
      <c r="I1022" s="124"/>
      <c r="J1022" s="122"/>
      <c r="K1022" s="122"/>
      <c r="L1022" s="122"/>
      <c r="M1022" s="2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</row>
    <row r="1023" spans="1:28" ht="12.75" customHeight="1" x14ac:dyDescent="0.25">
      <c r="A1023" s="2"/>
      <c r="B1023" s="2"/>
      <c r="C1023" s="2"/>
      <c r="D1023" s="2"/>
      <c r="E1023" s="25"/>
      <c r="F1023" s="26"/>
      <c r="G1023" s="2"/>
      <c r="H1023" s="2"/>
      <c r="I1023" s="124"/>
      <c r="J1023" s="122"/>
      <c r="K1023" s="122"/>
      <c r="L1023" s="122"/>
      <c r="M1023" s="2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</row>
    <row r="1024" spans="1:28" ht="12.75" customHeight="1" x14ac:dyDescent="0.25">
      <c r="A1024" s="2"/>
      <c r="B1024" s="2"/>
      <c r="C1024" s="2"/>
      <c r="D1024" s="2"/>
      <c r="E1024" s="25"/>
      <c r="F1024" s="26"/>
      <c r="G1024" s="2"/>
      <c r="H1024" s="2"/>
      <c r="I1024" s="124"/>
      <c r="J1024" s="122"/>
      <c r="K1024" s="122"/>
      <c r="L1024" s="122"/>
      <c r="M1024" s="2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</row>
    <row r="1025" spans="1:28" ht="12.75" customHeight="1" x14ac:dyDescent="0.25">
      <c r="A1025" s="2"/>
      <c r="B1025" s="2"/>
      <c r="C1025" s="2"/>
      <c r="D1025" s="2"/>
      <c r="E1025" s="25"/>
      <c r="F1025" s="26"/>
      <c r="G1025" s="2"/>
      <c r="H1025" s="2"/>
      <c r="I1025" s="124"/>
      <c r="J1025" s="122"/>
      <c r="K1025" s="122"/>
      <c r="L1025" s="122"/>
      <c r="M1025" s="2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</row>
    <row r="1026" spans="1:28" ht="12.75" customHeight="1" x14ac:dyDescent="0.25">
      <c r="A1026" s="2"/>
      <c r="B1026" s="2"/>
      <c r="C1026" s="2"/>
      <c r="D1026" s="2"/>
      <c r="E1026" s="25"/>
      <c r="F1026" s="26"/>
      <c r="G1026" s="2"/>
      <c r="H1026" s="2"/>
      <c r="I1026" s="124"/>
      <c r="J1026" s="122"/>
      <c r="K1026" s="122"/>
      <c r="L1026" s="122"/>
      <c r="M1026" s="2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</row>
    <row r="1027" spans="1:28" ht="12.75" customHeight="1" x14ac:dyDescent="0.25">
      <c r="A1027" s="2"/>
      <c r="B1027" s="2"/>
      <c r="C1027" s="2"/>
      <c r="D1027" s="2"/>
      <c r="E1027" s="25"/>
      <c r="F1027" s="26"/>
      <c r="G1027" s="2"/>
      <c r="H1027" s="2"/>
      <c r="I1027" s="124"/>
      <c r="J1027" s="122"/>
      <c r="K1027" s="122"/>
      <c r="L1027" s="122"/>
      <c r="M1027" s="2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</row>
    <row r="1028" spans="1:28" ht="12.75" customHeight="1" x14ac:dyDescent="0.25">
      <c r="A1028" s="2"/>
      <c r="B1028" s="2"/>
      <c r="C1028" s="2"/>
      <c r="D1028" s="2"/>
      <c r="E1028" s="25"/>
      <c r="F1028" s="26"/>
      <c r="G1028" s="2"/>
      <c r="H1028" s="2"/>
      <c r="I1028" s="124"/>
      <c r="J1028" s="122"/>
      <c r="K1028" s="122"/>
      <c r="L1028" s="122"/>
      <c r="M1028" s="2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</row>
    <row r="1029" spans="1:28" ht="12.75" customHeight="1" x14ac:dyDescent="0.25">
      <c r="A1029" s="2"/>
      <c r="B1029" s="2"/>
      <c r="C1029" s="2"/>
      <c r="D1029" s="2"/>
      <c r="E1029" s="25"/>
      <c r="F1029" s="26"/>
      <c r="G1029" s="2"/>
      <c r="H1029" s="2"/>
      <c r="I1029" s="124"/>
      <c r="J1029" s="122"/>
      <c r="K1029" s="122"/>
      <c r="L1029" s="122"/>
      <c r="M1029" s="2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</row>
    <row r="1030" spans="1:28" ht="12.75" customHeight="1" x14ac:dyDescent="0.25">
      <c r="A1030" s="2"/>
      <c r="B1030" s="2"/>
      <c r="C1030" s="2"/>
      <c r="D1030" s="2"/>
      <c r="E1030" s="25"/>
      <c r="F1030" s="26"/>
      <c r="G1030" s="2"/>
      <c r="H1030" s="2"/>
      <c r="I1030" s="124"/>
      <c r="J1030" s="122"/>
      <c r="K1030" s="122"/>
      <c r="L1030" s="122"/>
      <c r="M1030" s="2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</row>
    <row r="1031" spans="1:28" ht="12.75" customHeight="1" x14ac:dyDescent="0.25">
      <c r="A1031" s="2"/>
      <c r="B1031" s="2"/>
      <c r="C1031" s="2"/>
      <c r="D1031" s="2"/>
      <c r="E1031" s="25"/>
      <c r="F1031" s="26"/>
      <c r="G1031" s="2"/>
      <c r="H1031" s="2"/>
      <c r="I1031" s="124"/>
      <c r="J1031" s="122"/>
      <c r="K1031" s="122"/>
      <c r="L1031" s="122"/>
      <c r="M1031" s="2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</row>
    <row r="1032" spans="1:28" ht="12.75" customHeight="1" x14ac:dyDescent="0.25">
      <c r="A1032" s="2"/>
      <c r="B1032" s="2"/>
      <c r="C1032" s="2"/>
      <c r="D1032" s="2"/>
      <c r="E1032" s="25"/>
      <c r="F1032" s="26"/>
      <c r="G1032" s="2"/>
      <c r="H1032" s="2"/>
      <c r="I1032" s="124"/>
      <c r="J1032" s="122"/>
      <c r="K1032" s="122"/>
      <c r="L1032" s="122"/>
      <c r="M1032" s="2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</row>
    <row r="1033" spans="1:28" ht="12.75" customHeight="1" x14ac:dyDescent="0.25">
      <c r="A1033" s="2"/>
      <c r="B1033" s="2"/>
      <c r="C1033" s="2"/>
      <c r="D1033" s="2"/>
      <c r="E1033" s="25"/>
      <c r="F1033" s="26"/>
      <c r="G1033" s="2"/>
      <c r="H1033" s="2"/>
      <c r="I1033" s="124"/>
      <c r="J1033" s="122"/>
      <c r="K1033" s="122"/>
      <c r="L1033" s="122"/>
      <c r="M1033" s="2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</row>
    <row r="1034" spans="1:28" ht="12.75" customHeight="1" x14ac:dyDescent="0.25">
      <c r="A1034" s="2"/>
      <c r="B1034" s="2"/>
      <c r="C1034" s="2"/>
      <c r="D1034" s="2"/>
      <c r="E1034" s="25"/>
      <c r="F1034" s="26"/>
      <c r="G1034" s="2"/>
      <c r="H1034" s="2"/>
      <c r="I1034" s="124"/>
      <c r="J1034" s="122"/>
      <c r="K1034" s="122"/>
      <c r="L1034" s="122"/>
      <c r="M1034" s="2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</row>
    <row r="1035" spans="1:28" ht="12.75" customHeight="1" x14ac:dyDescent="0.25">
      <c r="A1035" s="2"/>
      <c r="B1035" s="2"/>
      <c r="C1035" s="2"/>
      <c r="D1035" s="2"/>
      <c r="E1035" s="25"/>
      <c r="F1035" s="26"/>
      <c r="G1035" s="2"/>
      <c r="H1035" s="2"/>
      <c r="I1035" s="124"/>
      <c r="J1035" s="122"/>
      <c r="K1035" s="122"/>
      <c r="L1035" s="122"/>
      <c r="M1035" s="2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</row>
    <row r="1036" spans="1:28" ht="12.75" customHeight="1" x14ac:dyDescent="0.25">
      <c r="A1036" s="2"/>
      <c r="B1036" s="2"/>
      <c r="C1036" s="2"/>
      <c r="D1036" s="2"/>
      <c r="E1036" s="25"/>
      <c r="F1036" s="26"/>
      <c r="G1036" s="2"/>
      <c r="H1036" s="2"/>
      <c r="I1036" s="124"/>
      <c r="J1036" s="122"/>
      <c r="K1036" s="122"/>
      <c r="L1036" s="122"/>
      <c r="M1036" s="2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</row>
    <row r="1037" spans="1:28" ht="12.75" customHeight="1" x14ac:dyDescent="0.25">
      <c r="A1037" s="2"/>
      <c r="B1037" s="2"/>
      <c r="C1037" s="2"/>
      <c r="D1037" s="2"/>
      <c r="E1037" s="25"/>
      <c r="F1037" s="26"/>
      <c r="G1037" s="2"/>
      <c r="H1037" s="2"/>
      <c r="I1037" s="124"/>
      <c r="J1037" s="122"/>
      <c r="K1037" s="122"/>
      <c r="L1037" s="122"/>
      <c r="M1037" s="2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</row>
    <row r="1038" spans="1:28" ht="12.75" customHeight="1" x14ac:dyDescent="0.25">
      <c r="A1038" s="2"/>
      <c r="B1038" s="2"/>
      <c r="C1038" s="2"/>
      <c r="D1038" s="2"/>
      <c r="E1038" s="25"/>
      <c r="F1038" s="26"/>
      <c r="G1038" s="2"/>
      <c r="H1038" s="2"/>
      <c r="I1038" s="124"/>
      <c r="J1038" s="122"/>
      <c r="K1038" s="122"/>
      <c r="L1038" s="122"/>
      <c r="M1038" s="2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</row>
    <row r="1039" spans="1:28" ht="12.75" customHeight="1" x14ac:dyDescent="0.25">
      <c r="A1039" s="2"/>
      <c r="B1039" s="2"/>
      <c r="C1039" s="2"/>
      <c r="D1039" s="2"/>
      <c r="E1039" s="25"/>
      <c r="F1039" s="26"/>
      <c r="G1039" s="2"/>
      <c r="H1039" s="2"/>
      <c r="I1039" s="124"/>
      <c r="J1039" s="122"/>
      <c r="K1039" s="122"/>
      <c r="L1039" s="122"/>
      <c r="M1039" s="2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</row>
    <row r="1040" spans="1:28" ht="12.75" customHeight="1" x14ac:dyDescent="0.25">
      <c r="A1040" s="2"/>
      <c r="B1040" s="2"/>
      <c r="C1040" s="2"/>
      <c r="D1040" s="2"/>
      <c r="E1040" s="25"/>
      <c r="F1040" s="26"/>
      <c r="G1040" s="2"/>
      <c r="H1040" s="2"/>
      <c r="I1040" s="124"/>
      <c r="J1040" s="122"/>
      <c r="K1040" s="122"/>
      <c r="L1040" s="122"/>
      <c r="M1040" s="2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</row>
    <row r="1041" spans="1:28" ht="12.75" customHeight="1" x14ac:dyDescent="0.25">
      <c r="A1041" s="2"/>
      <c r="B1041" s="2"/>
      <c r="C1041" s="2"/>
      <c r="D1041" s="2"/>
      <c r="E1041" s="25"/>
      <c r="F1041" s="26"/>
      <c r="G1041" s="2"/>
      <c r="H1041" s="2"/>
      <c r="I1041" s="124"/>
      <c r="J1041" s="122"/>
      <c r="K1041" s="122"/>
      <c r="L1041" s="122"/>
      <c r="M1041" s="2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</row>
    <row r="1042" spans="1:28" ht="12.75" customHeight="1" x14ac:dyDescent="0.25">
      <c r="A1042" s="2"/>
      <c r="B1042" s="2"/>
      <c r="C1042" s="2"/>
      <c r="D1042" s="2"/>
      <c r="E1042" s="25"/>
      <c r="F1042" s="26"/>
      <c r="G1042" s="2"/>
      <c r="H1042" s="2"/>
      <c r="I1042" s="124"/>
      <c r="J1042" s="122"/>
      <c r="K1042" s="122"/>
      <c r="L1042" s="122"/>
      <c r="M1042" s="2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</row>
    <row r="1043" spans="1:28" ht="12.75" customHeight="1" x14ac:dyDescent="0.25">
      <c r="A1043" s="2"/>
      <c r="B1043" s="2"/>
      <c r="C1043" s="2"/>
      <c r="D1043" s="2"/>
      <c r="E1043" s="25"/>
      <c r="F1043" s="26"/>
      <c r="G1043" s="2"/>
      <c r="H1043" s="2"/>
      <c r="I1043" s="124"/>
      <c r="J1043" s="122"/>
      <c r="K1043" s="122"/>
      <c r="L1043" s="122"/>
      <c r="M1043" s="2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</row>
    <row r="1044" spans="1:28" ht="12.75" customHeight="1" x14ac:dyDescent="0.25">
      <c r="A1044" s="2"/>
      <c r="B1044" s="2"/>
      <c r="C1044" s="2"/>
      <c r="D1044" s="2"/>
      <c r="E1044" s="25"/>
      <c r="F1044" s="26"/>
      <c r="G1044" s="2"/>
      <c r="H1044" s="2"/>
      <c r="I1044" s="124"/>
      <c r="J1044" s="122"/>
      <c r="K1044" s="122"/>
      <c r="L1044" s="122"/>
      <c r="M1044" s="2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</row>
    <row r="1045" spans="1:28" ht="12.75" customHeight="1" x14ac:dyDescent="0.25">
      <c r="A1045" s="2"/>
      <c r="B1045" s="2"/>
      <c r="C1045" s="2"/>
      <c r="D1045" s="2"/>
      <c r="E1045" s="25"/>
      <c r="F1045" s="26"/>
      <c r="G1045" s="2"/>
      <c r="H1045" s="2"/>
      <c r="I1045" s="124"/>
      <c r="J1045" s="122"/>
      <c r="K1045" s="122"/>
      <c r="L1045" s="122"/>
      <c r="M1045" s="2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</row>
    <row r="1046" spans="1:28" ht="12.75" customHeight="1" x14ac:dyDescent="0.25">
      <c r="A1046" s="2"/>
      <c r="B1046" s="2"/>
      <c r="C1046" s="2"/>
      <c r="D1046" s="2"/>
      <c r="E1046" s="25"/>
      <c r="F1046" s="26"/>
      <c r="G1046" s="2"/>
      <c r="H1046" s="2"/>
      <c r="I1046" s="124"/>
      <c r="J1046" s="122"/>
      <c r="K1046" s="122"/>
      <c r="L1046" s="122"/>
      <c r="M1046" s="2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</row>
    <row r="1047" spans="1:28" ht="12.75" customHeight="1" x14ac:dyDescent="0.25">
      <c r="A1047" s="2"/>
      <c r="B1047" s="2"/>
      <c r="C1047" s="2"/>
      <c r="D1047" s="2"/>
      <c r="E1047" s="25"/>
      <c r="F1047" s="26"/>
      <c r="G1047" s="2"/>
      <c r="H1047" s="2"/>
      <c r="I1047" s="124"/>
      <c r="J1047" s="122"/>
      <c r="K1047" s="122"/>
      <c r="L1047" s="122"/>
      <c r="M1047" s="2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</row>
    <row r="1048" spans="1:28" ht="12.75" customHeight="1" x14ac:dyDescent="0.25">
      <c r="A1048" s="2"/>
      <c r="B1048" s="2"/>
      <c r="C1048" s="2"/>
      <c r="D1048" s="2"/>
      <c r="E1048" s="25"/>
      <c r="F1048" s="26"/>
      <c r="G1048" s="2"/>
      <c r="H1048" s="2"/>
      <c r="I1048" s="124"/>
      <c r="J1048" s="122"/>
      <c r="K1048" s="122"/>
      <c r="L1048" s="122"/>
      <c r="M1048" s="2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</row>
    <row r="1049" spans="1:28" ht="12.75" customHeight="1" x14ac:dyDescent="0.25">
      <c r="A1049" s="2"/>
      <c r="B1049" s="2"/>
      <c r="C1049" s="2"/>
      <c r="D1049" s="2"/>
      <c r="E1049" s="25"/>
      <c r="F1049" s="26"/>
      <c r="G1049" s="2"/>
      <c r="H1049" s="2"/>
      <c r="I1049" s="124"/>
      <c r="J1049" s="122"/>
      <c r="K1049" s="122"/>
      <c r="L1049" s="122"/>
      <c r="M1049" s="2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</row>
    <row r="1050" spans="1:28" ht="12.75" customHeight="1" x14ac:dyDescent="0.25">
      <c r="A1050" s="2"/>
      <c r="B1050" s="2"/>
      <c r="C1050" s="2"/>
      <c r="D1050" s="2"/>
      <c r="E1050" s="25"/>
      <c r="F1050" s="26"/>
      <c r="G1050" s="2"/>
      <c r="H1050" s="2"/>
      <c r="I1050" s="124"/>
      <c r="J1050" s="122"/>
      <c r="K1050" s="122"/>
      <c r="L1050" s="122"/>
      <c r="M1050" s="2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</row>
    <row r="1051" spans="1:28" ht="12.75" customHeight="1" x14ac:dyDescent="0.25">
      <c r="A1051" s="2"/>
      <c r="B1051" s="2"/>
      <c r="C1051" s="2"/>
      <c r="D1051" s="2"/>
      <c r="E1051" s="25"/>
      <c r="F1051" s="26"/>
      <c r="G1051" s="2"/>
      <c r="H1051" s="2"/>
      <c r="I1051" s="124"/>
      <c r="J1051" s="122"/>
      <c r="K1051" s="122"/>
      <c r="L1051" s="122"/>
      <c r="M1051" s="2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</row>
    <row r="1052" spans="1:28" ht="12.75" customHeight="1" x14ac:dyDescent="0.25">
      <c r="A1052" s="2"/>
      <c r="B1052" s="2"/>
      <c r="C1052" s="2"/>
      <c r="D1052" s="2"/>
      <c r="E1052" s="25"/>
      <c r="F1052" s="26"/>
      <c r="G1052" s="2"/>
      <c r="H1052" s="2"/>
      <c r="I1052" s="124"/>
      <c r="J1052" s="122"/>
      <c r="K1052" s="122"/>
      <c r="L1052" s="122"/>
      <c r="M1052" s="2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</row>
    <row r="1053" spans="1:28" ht="12.75" customHeight="1" x14ac:dyDescent="0.25">
      <c r="A1053" s="2"/>
      <c r="B1053" s="2"/>
      <c r="C1053" s="2"/>
      <c r="D1053" s="2"/>
      <c r="E1053" s="25"/>
      <c r="F1053" s="26"/>
      <c r="G1053" s="2"/>
      <c r="H1053" s="2"/>
      <c r="I1053" s="124"/>
      <c r="J1053" s="122"/>
      <c r="K1053" s="122"/>
      <c r="L1053" s="122"/>
      <c r="M1053" s="2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</row>
    <row r="1054" spans="1:28" ht="12.75" customHeight="1" x14ac:dyDescent="0.25">
      <c r="A1054" s="2"/>
      <c r="B1054" s="2"/>
      <c r="C1054" s="2"/>
      <c r="D1054" s="2"/>
      <c r="E1054" s="25"/>
      <c r="F1054" s="26"/>
      <c r="G1054" s="2"/>
      <c r="H1054" s="2"/>
      <c r="I1054" s="124"/>
      <c r="J1054" s="122"/>
      <c r="K1054" s="122"/>
      <c r="L1054" s="122"/>
      <c r="M1054" s="2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</row>
    <row r="1055" spans="1:28" ht="12.75" customHeight="1" x14ac:dyDescent="0.25">
      <c r="A1055" s="2"/>
      <c r="B1055" s="2"/>
      <c r="C1055" s="2"/>
      <c r="D1055" s="2"/>
      <c r="E1055" s="25"/>
      <c r="F1055" s="26"/>
      <c r="G1055" s="2"/>
      <c r="H1055" s="2"/>
      <c r="I1055" s="124"/>
      <c r="J1055" s="122"/>
      <c r="K1055" s="122"/>
      <c r="L1055" s="122"/>
      <c r="M1055" s="2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</row>
    <row r="1056" spans="1:28" ht="12.75" customHeight="1" x14ac:dyDescent="0.25">
      <c r="A1056" s="2"/>
      <c r="B1056" s="2"/>
      <c r="C1056" s="2"/>
      <c r="D1056" s="2"/>
      <c r="E1056" s="25"/>
      <c r="F1056" s="26"/>
      <c r="G1056" s="2"/>
      <c r="H1056" s="2"/>
      <c r="I1056" s="124"/>
      <c r="J1056" s="122"/>
      <c r="K1056" s="122"/>
      <c r="L1056" s="122"/>
      <c r="M1056" s="2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</row>
    <row r="1057" spans="1:28" ht="12.75" customHeight="1" x14ac:dyDescent="0.25">
      <c r="A1057" s="2"/>
      <c r="B1057" s="2"/>
      <c r="C1057" s="2"/>
      <c r="D1057" s="2"/>
      <c r="E1057" s="25"/>
      <c r="F1057" s="26"/>
      <c r="G1057" s="2"/>
      <c r="H1057" s="2"/>
      <c r="I1057" s="124"/>
      <c r="J1057" s="122"/>
      <c r="K1057" s="122"/>
      <c r="L1057" s="122"/>
      <c r="M1057" s="2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</row>
    <row r="1058" spans="1:28" ht="12.75" customHeight="1" x14ac:dyDescent="0.25">
      <c r="A1058" s="2"/>
      <c r="B1058" s="2"/>
      <c r="C1058" s="2"/>
      <c r="D1058" s="2"/>
      <c r="E1058" s="25"/>
      <c r="F1058" s="26"/>
      <c r="G1058" s="2"/>
      <c r="H1058" s="2"/>
      <c r="I1058" s="124"/>
      <c r="J1058" s="122"/>
      <c r="K1058" s="122"/>
      <c r="L1058" s="122"/>
      <c r="M1058" s="2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</row>
    <row r="1059" spans="1:28" ht="12.75" customHeight="1" x14ac:dyDescent="0.25">
      <c r="A1059" s="2"/>
      <c r="B1059" s="2"/>
      <c r="C1059" s="2"/>
      <c r="D1059" s="2"/>
      <c r="E1059" s="25"/>
      <c r="F1059" s="26"/>
      <c r="G1059" s="2"/>
      <c r="H1059" s="2"/>
      <c r="I1059" s="124"/>
      <c r="J1059" s="122"/>
      <c r="K1059" s="122"/>
      <c r="L1059" s="122"/>
      <c r="M1059" s="2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</row>
    <row r="1060" spans="1:28" ht="12.75" customHeight="1" x14ac:dyDescent="0.25">
      <c r="A1060" s="2"/>
      <c r="B1060" s="2"/>
      <c r="C1060" s="2"/>
      <c r="D1060" s="2"/>
      <c r="E1060" s="25"/>
      <c r="F1060" s="26"/>
      <c r="G1060" s="2"/>
      <c r="H1060" s="2"/>
      <c r="I1060" s="124"/>
      <c r="J1060" s="122"/>
      <c r="K1060" s="122"/>
      <c r="L1060" s="122"/>
      <c r="M1060" s="2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</row>
    <row r="1061" spans="1:28" ht="12.75" customHeight="1" x14ac:dyDescent="0.25">
      <c r="A1061" s="2"/>
      <c r="B1061" s="2"/>
      <c r="C1061" s="2"/>
      <c r="D1061" s="2"/>
      <c r="E1061" s="25"/>
      <c r="F1061" s="26"/>
      <c r="G1061" s="2"/>
      <c r="H1061" s="2"/>
      <c r="I1061" s="124"/>
      <c r="J1061" s="122"/>
      <c r="K1061" s="122"/>
      <c r="L1061" s="122"/>
      <c r="M1061" s="2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</row>
    <row r="1062" spans="1:28" ht="12.75" customHeight="1" x14ac:dyDescent="0.25">
      <c r="A1062" s="2"/>
      <c r="B1062" s="2"/>
      <c r="C1062" s="2"/>
      <c r="D1062" s="2"/>
      <c r="E1062" s="25"/>
      <c r="F1062" s="26"/>
      <c r="G1062" s="2"/>
      <c r="H1062" s="2"/>
      <c r="I1062" s="124"/>
      <c r="J1062" s="122"/>
      <c r="K1062" s="122"/>
      <c r="L1062" s="122"/>
      <c r="M1062" s="2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</row>
    <row r="1063" spans="1:28" ht="12.75" customHeight="1" x14ac:dyDescent="0.25">
      <c r="A1063" s="2"/>
      <c r="B1063" s="2"/>
      <c r="C1063" s="2"/>
      <c r="D1063" s="2"/>
      <c r="E1063" s="25"/>
      <c r="F1063" s="26"/>
      <c r="G1063" s="2"/>
      <c r="H1063" s="2"/>
      <c r="I1063" s="124"/>
      <c r="J1063" s="122"/>
      <c r="K1063" s="122"/>
      <c r="L1063" s="122"/>
      <c r="M1063" s="2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</row>
    <row r="1064" spans="1:28" ht="12.75" customHeight="1" x14ac:dyDescent="0.25">
      <c r="A1064" s="2"/>
      <c r="B1064" s="2"/>
      <c r="C1064" s="2"/>
      <c r="D1064" s="2"/>
      <c r="E1064" s="25"/>
      <c r="F1064" s="26"/>
      <c r="G1064" s="2"/>
      <c r="H1064" s="2"/>
      <c r="I1064" s="124"/>
      <c r="J1064" s="122"/>
      <c r="K1064" s="122"/>
      <c r="L1064" s="122"/>
      <c r="M1064" s="2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</row>
    <row r="1065" spans="1:28" ht="12.75" customHeight="1" x14ac:dyDescent="0.25">
      <c r="A1065" s="2"/>
      <c r="B1065" s="2"/>
      <c r="C1065" s="2"/>
      <c r="D1065" s="2"/>
      <c r="E1065" s="25"/>
      <c r="F1065" s="26"/>
      <c r="G1065" s="2"/>
      <c r="H1065" s="2"/>
      <c r="I1065" s="124"/>
      <c r="J1065" s="122"/>
      <c r="K1065" s="122"/>
      <c r="L1065" s="122"/>
      <c r="M1065" s="2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</row>
    <row r="1066" spans="1:28" ht="12.75" customHeight="1" x14ac:dyDescent="0.25">
      <c r="A1066" s="2"/>
      <c r="B1066" s="2"/>
      <c r="C1066" s="2"/>
      <c r="D1066" s="2"/>
      <c r="E1066" s="25"/>
      <c r="F1066" s="26"/>
      <c r="G1066" s="2"/>
      <c r="H1066" s="2"/>
      <c r="I1066" s="124"/>
      <c r="J1066" s="122"/>
      <c r="K1066" s="122"/>
      <c r="L1066" s="122"/>
      <c r="M1066" s="2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</row>
    <row r="1067" spans="1:28" ht="12.75" customHeight="1" x14ac:dyDescent="0.25">
      <c r="A1067" s="2"/>
      <c r="B1067" s="2"/>
      <c r="C1067" s="2"/>
      <c r="D1067" s="2"/>
      <c r="E1067" s="25"/>
      <c r="F1067" s="26"/>
      <c r="G1067" s="2"/>
      <c r="H1067" s="2"/>
      <c r="I1067" s="124"/>
      <c r="J1067" s="122"/>
      <c r="K1067" s="122"/>
      <c r="L1067" s="122"/>
      <c r="M1067" s="2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</row>
    <row r="1068" spans="1:28" ht="12.75" customHeight="1" x14ac:dyDescent="0.25">
      <c r="A1068" s="2"/>
      <c r="B1068" s="2"/>
      <c r="C1068" s="2"/>
      <c r="D1068" s="2"/>
      <c r="E1068" s="25"/>
      <c r="F1068" s="26"/>
      <c r="G1068" s="2"/>
      <c r="H1068" s="2"/>
      <c r="I1068" s="124"/>
      <c r="J1068" s="122"/>
      <c r="K1068" s="122"/>
      <c r="L1068" s="122"/>
      <c r="M1068" s="2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</row>
    <row r="1069" spans="1:28" ht="12.75" customHeight="1" x14ac:dyDescent="0.25">
      <c r="A1069" s="2"/>
      <c r="B1069" s="2"/>
      <c r="C1069" s="2"/>
      <c r="D1069" s="2"/>
      <c r="E1069" s="25"/>
      <c r="F1069" s="26"/>
      <c r="G1069" s="2"/>
      <c r="H1069" s="2"/>
      <c r="I1069" s="124"/>
      <c r="J1069" s="122"/>
      <c r="K1069" s="122"/>
      <c r="L1069" s="122"/>
      <c r="M1069" s="2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</row>
    <row r="1070" spans="1:28" ht="12.75" customHeight="1" x14ac:dyDescent="0.25">
      <c r="A1070" s="2"/>
      <c r="B1070" s="2"/>
      <c r="C1070" s="2"/>
      <c r="D1070" s="2"/>
      <c r="E1070" s="25"/>
      <c r="F1070" s="26"/>
      <c r="G1070" s="2"/>
      <c r="H1070" s="2"/>
      <c r="I1070" s="124"/>
      <c r="J1070" s="122"/>
      <c r="K1070" s="122"/>
      <c r="L1070" s="122"/>
      <c r="M1070" s="2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</row>
    <row r="1071" spans="1:28" ht="12.75" customHeight="1" x14ac:dyDescent="0.25">
      <c r="A1071" s="2"/>
      <c r="B1071" s="2"/>
      <c r="C1071" s="2"/>
      <c r="D1071" s="2"/>
      <c r="E1071" s="25"/>
      <c r="F1071" s="26"/>
      <c r="G1071" s="2"/>
      <c r="H1071" s="2"/>
      <c r="I1071" s="124"/>
      <c r="J1071" s="122"/>
      <c r="K1071" s="122"/>
      <c r="L1071" s="122"/>
      <c r="M1071" s="2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</row>
    <row r="1072" spans="1:28" ht="12.75" customHeight="1" x14ac:dyDescent="0.25">
      <c r="A1072" s="2"/>
      <c r="B1072" s="2"/>
      <c r="C1072" s="2"/>
      <c r="D1072" s="2"/>
      <c r="E1072" s="25"/>
      <c r="F1072" s="26"/>
      <c r="G1072" s="2"/>
      <c r="H1072" s="2"/>
      <c r="I1072" s="124"/>
      <c r="J1072" s="122"/>
      <c r="K1072" s="122"/>
      <c r="L1072" s="122"/>
      <c r="M1072" s="2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</row>
    <row r="1073" spans="1:28" ht="12.75" customHeight="1" x14ac:dyDescent="0.25">
      <c r="A1073" s="2"/>
      <c r="B1073" s="2"/>
      <c r="C1073" s="2"/>
      <c r="D1073" s="2"/>
      <c r="E1073" s="25"/>
      <c r="F1073" s="26"/>
      <c r="G1073" s="2"/>
      <c r="H1073" s="2"/>
      <c r="I1073" s="124"/>
      <c r="J1073" s="122"/>
      <c r="K1073" s="122"/>
      <c r="L1073" s="122"/>
      <c r="M1073" s="2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</row>
    <row r="1074" spans="1:28" ht="12.75" customHeight="1" x14ac:dyDescent="0.25">
      <c r="A1074" s="2"/>
      <c r="B1074" s="2"/>
      <c r="C1074" s="2"/>
      <c r="D1074" s="2"/>
      <c r="E1074" s="25"/>
      <c r="F1074" s="26"/>
      <c r="G1074" s="2"/>
      <c r="H1074" s="2"/>
      <c r="I1074" s="124"/>
      <c r="J1074" s="122"/>
      <c r="K1074" s="122"/>
      <c r="L1074" s="122"/>
      <c r="M1074" s="2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</row>
    <row r="1075" spans="1:28" ht="12.75" customHeight="1" x14ac:dyDescent="0.25">
      <c r="A1075" s="2"/>
      <c r="B1075" s="2"/>
      <c r="C1075" s="2"/>
      <c r="D1075" s="2"/>
      <c r="E1075" s="25"/>
      <c r="F1075" s="26"/>
      <c r="G1075" s="2"/>
      <c r="H1075" s="2"/>
      <c r="I1075" s="124"/>
      <c r="J1075" s="122"/>
      <c r="K1075" s="122"/>
      <c r="L1075" s="122"/>
      <c r="M1075" s="2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</row>
    <row r="1076" spans="1:28" ht="12.75" customHeight="1" x14ac:dyDescent="0.25">
      <c r="A1076" s="2"/>
      <c r="B1076" s="2"/>
      <c r="C1076" s="2"/>
      <c r="D1076" s="2"/>
      <c r="E1076" s="25"/>
      <c r="F1076" s="26"/>
      <c r="G1076" s="2"/>
      <c r="H1076" s="2"/>
      <c r="I1076" s="124"/>
      <c r="J1076" s="122"/>
      <c r="K1076" s="122"/>
      <c r="L1076" s="122"/>
      <c r="M1076" s="2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</row>
    <row r="1077" spans="1:28" ht="12.75" customHeight="1" x14ac:dyDescent="0.25">
      <c r="A1077" s="2"/>
      <c r="B1077" s="2"/>
      <c r="C1077" s="2"/>
      <c r="D1077" s="2"/>
      <c r="E1077" s="25"/>
      <c r="F1077" s="26"/>
      <c r="G1077" s="2"/>
      <c r="H1077" s="2"/>
      <c r="I1077" s="124"/>
      <c r="J1077" s="122"/>
      <c r="K1077" s="122"/>
      <c r="L1077" s="122"/>
      <c r="M1077" s="2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</row>
    <row r="1078" spans="1:28" ht="12.75" customHeight="1" x14ac:dyDescent="0.25">
      <c r="A1078" s="2"/>
      <c r="B1078" s="2"/>
      <c r="C1078" s="2"/>
      <c r="D1078" s="2"/>
      <c r="E1078" s="25"/>
      <c r="F1078" s="26"/>
      <c r="G1078" s="2"/>
      <c r="H1078" s="2"/>
      <c r="I1078" s="124"/>
      <c r="J1078" s="122"/>
      <c r="K1078" s="122"/>
      <c r="L1078" s="122"/>
      <c r="M1078" s="2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</row>
    <row r="1079" spans="1:28" ht="12.75" customHeight="1" x14ac:dyDescent="0.25">
      <c r="A1079" s="2"/>
      <c r="B1079" s="2"/>
      <c r="C1079" s="2"/>
      <c r="D1079" s="2"/>
      <c r="E1079" s="25"/>
      <c r="F1079" s="26"/>
      <c r="G1079" s="2"/>
      <c r="H1079" s="2"/>
      <c r="I1079" s="124"/>
      <c r="J1079" s="122"/>
      <c r="K1079" s="122"/>
      <c r="L1079" s="122"/>
      <c r="M1079" s="2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</row>
    <row r="1080" spans="1:28" ht="12.75" customHeight="1" x14ac:dyDescent="0.25">
      <c r="A1080" s="2"/>
      <c r="B1080" s="2"/>
      <c r="C1080" s="2"/>
      <c r="D1080" s="2"/>
      <c r="E1080" s="25"/>
      <c r="F1080" s="26"/>
      <c r="G1080" s="2"/>
      <c r="H1080" s="2"/>
      <c r="I1080" s="124"/>
      <c r="J1080" s="122"/>
      <c r="K1080" s="122"/>
      <c r="L1080" s="122"/>
      <c r="M1080" s="2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</row>
    <row r="1081" spans="1:28" ht="12.75" customHeight="1" x14ac:dyDescent="0.25">
      <c r="A1081" s="2"/>
      <c r="B1081" s="2"/>
      <c r="C1081" s="2"/>
      <c r="D1081" s="2"/>
      <c r="E1081" s="25"/>
      <c r="F1081" s="26"/>
      <c r="G1081" s="2"/>
      <c r="H1081" s="2"/>
      <c r="I1081" s="124"/>
      <c r="J1081" s="122"/>
      <c r="K1081" s="122"/>
      <c r="L1081" s="122"/>
      <c r="M1081" s="2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</row>
    <row r="1082" spans="1:28" ht="12.75" customHeight="1" x14ac:dyDescent="0.25">
      <c r="A1082" s="2"/>
      <c r="B1082" s="2"/>
      <c r="C1082" s="2"/>
      <c r="D1082" s="2"/>
      <c r="E1082" s="25"/>
      <c r="F1082" s="26"/>
      <c r="G1082" s="2"/>
      <c r="H1082" s="2"/>
      <c r="I1082" s="124"/>
      <c r="J1082" s="122"/>
      <c r="K1082" s="122"/>
      <c r="L1082" s="122"/>
      <c r="M1082" s="2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</row>
    <row r="1083" spans="1:28" ht="12.75" customHeight="1" x14ac:dyDescent="0.25">
      <c r="A1083" s="2"/>
      <c r="B1083" s="2"/>
      <c r="C1083" s="2"/>
      <c r="D1083" s="2"/>
      <c r="E1083" s="25"/>
      <c r="F1083" s="26"/>
      <c r="G1083" s="2"/>
      <c r="H1083" s="2"/>
      <c r="I1083" s="124"/>
      <c r="J1083" s="122"/>
      <c r="K1083" s="122"/>
      <c r="L1083" s="122"/>
      <c r="M1083" s="2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</row>
    <row r="1084" spans="1:28" ht="12.75" customHeight="1" x14ac:dyDescent="0.25">
      <c r="A1084" s="2"/>
      <c r="B1084" s="2"/>
      <c r="C1084" s="2"/>
      <c r="D1084" s="2"/>
      <c r="E1084" s="25"/>
      <c r="F1084" s="26"/>
      <c r="G1084" s="2"/>
      <c r="H1084" s="2"/>
      <c r="I1084" s="124"/>
      <c r="J1084" s="122"/>
      <c r="K1084" s="122"/>
      <c r="L1084" s="122"/>
      <c r="M1084" s="2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</row>
    <row r="1085" spans="1:28" ht="12.75" customHeight="1" x14ac:dyDescent="0.25">
      <c r="A1085" s="2"/>
      <c r="B1085" s="2"/>
      <c r="C1085" s="2"/>
      <c r="D1085" s="2"/>
      <c r="E1085" s="25"/>
      <c r="F1085" s="26"/>
      <c r="G1085" s="2"/>
      <c r="H1085" s="2"/>
      <c r="I1085" s="124"/>
      <c r="J1085" s="122"/>
      <c r="K1085" s="122"/>
      <c r="L1085" s="122"/>
      <c r="M1085" s="2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</row>
    <row r="1086" spans="1:28" ht="12.75" customHeight="1" x14ac:dyDescent="0.25">
      <c r="A1086" s="2"/>
      <c r="B1086" s="2"/>
      <c r="C1086" s="2"/>
      <c r="D1086" s="2"/>
      <c r="E1086" s="25"/>
      <c r="F1086" s="26"/>
      <c r="G1086" s="2"/>
      <c r="H1086" s="2"/>
      <c r="I1086" s="124"/>
      <c r="J1086" s="122"/>
      <c r="K1086" s="122"/>
      <c r="L1086" s="122"/>
      <c r="M1086" s="2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</row>
    <row r="1087" spans="1:28" ht="12.75" customHeight="1" x14ac:dyDescent="0.25">
      <c r="A1087" s="2"/>
      <c r="B1087" s="2"/>
      <c r="C1087" s="2"/>
      <c r="D1087" s="2"/>
      <c r="E1087" s="25"/>
      <c r="F1087" s="26"/>
      <c r="G1087" s="2"/>
      <c r="H1087" s="2"/>
      <c r="I1087" s="124"/>
      <c r="J1087" s="122"/>
      <c r="K1087" s="122"/>
      <c r="L1087" s="122"/>
      <c r="M1087" s="2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</row>
    <row r="1088" spans="1:28" ht="12.75" customHeight="1" x14ac:dyDescent="0.25">
      <c r="A1088" s="2"/>
      <c r="B1088" s="2"/>
      <c r="C1088" s="2"/>
      <c r="D1088" s="2"/>
      <c r="E1088" s="25"/>
      <c r="F1088" s="26"/>
      <c r="G1088" s="2"/>
      <c r="H1088" s="2"/>
      <c r="I1088" s="124"/>
      <c r="J1088" s="122"/>
      <c r="K1088" s="122"/>
      <c r="L1088" s="122"/>
      <c r="M1088" s="2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</row>
    <row r="1089" spans="1:28" ht="12.75" customHeight="1" x14ac:dyDescent="0.25">
      <c r="A1089" s="2"/>
      <c r="B1089" s="2"/>
      <c r="C1089" s="2"/>
      <c r="D1089" s="2"/>
      <c r="E1089" s="25"/>
      <c r="F1089" s="26"/>
      <c r="G1089" s="2"/>
      <c r="H1089" s="2"/>
      <c r="I1089" s="124"/>
      <c r="J1089" s="122"/>
      <c r="K1089" s="122"/>
      <c r="L1089" s="122"/>
      <c r="M1089" s="2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</row>
    <row r="1090" spans="1:28" ht="12.75" customHeight="1" x14ac:dyDescent="0.25">
      <c r="A1090" s="2"/>
      <c r="B1090" s="2"/>
      <c r="C1090" s="2"/>
      <c r="D1090" s="2"/>
      <c r="E1090" s="25"/>
      <c r="F1090" s="26"/>
      <c r="G1090" s="2"/>
      <c r="H1090" s="2"/>
      <c r="I1090" s="124"/>
      <c r="J1090" s="122"/>
      <c r="K1090" s="122"/>
      <c r="L1090" s="122"/>
      <c r="M1090" s="2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</row>
    <row r="1091" spans="1:28" ht="12.75" customHeight="1" x14ac:dyDescent="0.25">
      <c r="A1091" s="2"/>
      <c r="B1091" s="2"/>
      <c r="C1091" s="2"/>
      <c r="D1091" s="2"/>
      <c r="E1091" s="25"/>
      <c r="F1091" s="26"/>
      <c r="G1091" s="2"/>
      <c r="H1091" s="2"/>
      <c r="I1091" s="124"/>
      <c r="J1091" s="122"/>
      <c r="K1091" s="122"/>
      <c r="L1091" s="122"/>
      <c r="M1091" s="2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</row>
    <row r="1092" spans="1:28" ht="12.75" customHeight="1" x14ac:dyDescent="0.25">
      <c r="A1092" s="2"/>
      <c r="B1092" s="2"/>
      <c r="C1092" s="2"/>
      <c r="D1092" s="2"/>
      <c r="E1092" s="25"/>
      <c r="F1092" s="26"/>
      <c r="G1092" s="2"/>
      <c r="H1092" s="2"/>
      <c r="I1092" s="124"/>
      <c r="J1092" s="122"/>
      <c r="K1092" s="122"/>
      <c r="L1092" s="122"/>
      <c r="M1092" s="2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</row>
    <row r="1093" spans="1:28" ht="12.75" customHeight="1" x14ac:dyDescent="0.25">
      <c r="A1093" s="2"/>
      <c r="B1093" s="2"/>
      <c r="C1093" s="2"/>
      <c r="D1093" s="2"/>
      <c r="E1093" s="25"/>
      <c r="F1093" s="26"/>
      <c r="G1093" s="2"/>
      <c r="H1093" s="2"/>
      <c r="I1093" s="124"/>
      <c r="J1093" s="122"/>
      <c r="K1093" s="122"/>
      <c r="L1093" s="122"/>
      <c r="M1093" s="2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</row>
    <row r="1094" spans="1:28" ht="12.75" customHeight="1" x14ac:dyDescent="0.25">
      <c r="A1094" s="2"/>
      <c r="B1094" s="2"/>
      <c r="C1094" s="2"/>
      <c r="D1094" s="2"/>
      <c r="E1094" s="25"/>
      <c r="F1094" s="26"/>
      <c r="G1094" s="2"/>
      <c r="H1094" s="2"/>
      <c r="I1094" s="124"/>
      <c r="J1094" s="122"/>
      <c r="K1094" s="122"/>
      <c r="L1094" s="122"/>
      <c r="M1094" s="2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</row>
    <row r="1095" spans="1:28" ht="12.75" customHeight="1" x14ac:dyDescent="0.25">
      <c r="A1095" s="2"/>
      <c r="B1095" s="2"/>
      <c r="C1095" s="2"/>
      <c r="D1095" s="2"/>
      <c r="E1095" s="25"/>
      <c r="F1095" s="26"/>
      <c r="G1095" s="2"/>
      <c r="H1095" s="2"/>
      <c r="I1095" s="124"/>
      <c r="J1095" s="122"/>
      <c r="K1095" s="122"/>
      <c r="L1095" s="122"/>
      <c r="M1095" s="2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</row>
    <row r="1096" spans="1:28" ht="12.75" customHeight="1" x14ac:dyDescent="0.25">
      <c r="A1096" s="2"/>
      <c r="B1096" s="2"/>
      <c r="C1096" s="2"/>
      <c r="D1096" s="2"/>
      <c r="E1096" s="25"/>
      <c r="F1096" s="26"/>
      <c r="G1096" s="2"/>
      <c r="H1096" s="2"/>
      <c r="I1096" s="124"/>
      <c r="J1096" s="122"/>
      <c r="K1096" s="122"/>
      <c r="L1096" s="122"/>
      <c r="M1096" s="2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</row>
    <row r="1097" spans="1:28" ht="12.75" customHeight="1" x14ac:dyDescent="0.25">
      <c r="A1097" s="2"/>
      <c r="B1097" s="2"/>
      <c r="C1097" s="2"/>
      <c r="D1097" s="2"/>
      <c r="E1097" s="25"/>
      <c r="F1097" s="26"/>
      <c r="G1097" s="2"/>
      <c r="H1097" s="2"/>
      <c r="I1097" s="124"/>
      <c r="J1097" s="122"/>
      <c r="K1097" s="122"/>
      <c r="L1097" s="122"/>
      <c r="M1097" s="2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</row>
    <row r="1098" spans="1:28" ht="12.75" customHeight="1" x14ac:dyDescent="0.25">
      <c r="A1098" s="2"/>
      <c r="B1098" s="2"/>
      <c r="C1098" s="2"/>
      <c r="D1098" s="2"/>
      <c r="E1098" s="25"/>
      <c r="F1098" s="26"/>
      <c r="G1098" s="2"/>
      <c r="H1098" s="2"/>
      <c r="I1098" s="124"/>
      <c r="J1098" s="122"/>
      <c r="K1098" s="122"/>
      <c r="L1098" s="122"/>
      <c r="M1098" s="2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</row>
    <row r="1099" spans="1:28" ht="12.75" customHeight="1" x14ac:dyDescent="0.25">
      <c r="A1099" s="2"/>
      <c r="B1099" s="2"/>
      <c r="C1099" s="2"/>
      <c r="D1099" s="2"/>
      <c r="E1099" s="25"/>
      <c r="F1099" s="26"/>
      <c r="G1099" s="2"/>
      <c r="H1099" s="2"/>
      <c r="I1099" s="124"/>
      <c r="J1099" s="122"/>
      <c r="K1099" s="122"/>
      <c r="L1099" s="122"/>
      <c r="M1099" s="2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</row>
    <row r="1100" spans="1:28" ht="12.75" customHeight="1" x14ac:dyDescent="0.25">
      <c r="A1100" s="2"/>
      <c r="B1100" s="2"/>
      <c r="C1100" s="2"/>
      <c r="D1100" s="2"/>
      <c r="E1100" s="25"/>
      <c r="F1100" s="26"/>
      <c r="G1100" s="2"/>
      <c r="H1100" s="2"/>
      <c r="I1100" s="124"/>
      <c r="J1100" s="122"/>
      <c r="K1100" s="122"/>
      <c r="L1100" s="122"/>
      <c r="M1100" s="2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</row>
    <row r="1101" spans="1:28" ht="12.75" customHeight="1" x14ac:dyDescent="0.25">
      <c r="A1101" s="2"/>
      <c r="B1101" s="2"/>
      <c r="C1101" s="2"/>
      <c r="D1101" s="2"/>
      <c r="E1101" s="25"/>
      <c r="F1101" s="26"/>
      <c r="G1101" s="2"/>
      <c r="H1101" s="2"/>
      <c r="I1101" s="124"/>
      <c r="J1101" s="122"/>
      <c r="K1101" s="122"/>
      <c r="L1101" s="122"/>
      <c r="M1101" s="2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</row>
    <row r="1102" spans="1:28" ht="12.75" customHeight="1" x14ac:dyDescent="0.25">
      <c r="A1102" s="2"/>
      <c r="B1102" s="2"/>
      <c r="C1102" s="2"/>
      <c r="D1102" s="2"/>
      <c r="E1102" s="25"/>
      <c r="F1102" s="26"/>
      <c r="G1102" s="2"/>
      <c r="H1102" s="2"/>
      <c r="I1102" s="124"/>
      <c r="J1102" s="122"/>
      <c r="K1102" s="122"/>
      <c r="L1102" s="122"/>
      <c r="M1102" s="2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</row>
    <row r="1103" spans="1:28" ht="12.75" customHeight="1" x14ac:dyDescent="0.25">
      <c r="A1103" s="2"/>
      <c r="B1103" s="2"/>
      <c r="C1103" s="2"/>
      <c r="D1103" s="2"/>
      <c r="E1103" s="25"/>
      <c r="F1103" s="26"/>
      <c r="G1103" s="2"/>
      <c r="H1103" s="2"/>
      <c r="I1103" s="124"/>
      <c r="J1103" s="122"/>
      <c r="K1103" s="122"/>
      <c r="L1103" s="122"/>
      <c r="M1103" s="2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</row>
    <row r="1104" spans="1:28" ht="12.75" customHeight="1" x14ac:dyDescent="0.25">
      <c r="A1104" s="2"/>
      <c r="B1104" s="2"/>
      <c r="C1104" s="2"/>
      <c r="D1104" s="2"/>
      <c r="E1104" s="25"/>
      <c r="F1104" s="26"/>
      <c r="G1104" s="2"/>
      <c r="H1104" s="2"/>
      <c r="I1104" s="124"/>
      <c r="J1104" s="122"/>
      <c r="K1104" s="122"/>
      <c r="L1104" s="122"/>
      <c r="M1104" s="2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</row>
    <row r="1105" spans="1:28" ht="12.75" customHeight="1" x14ac:dyDescent="0.25">
      <c r="A1105" s="2"/>
      <c r="B1105" s="2"/>
      <c r="C1105" s="2"/>
      <c r="D1105" s="2"/>
      <c r="E1105" s="25"/>
      <c r="F1105" s="26"/>
      <c r="G1105" s="2"/>
      <c r="H1105" s="2"/>
      <c r="I1105" s="124"/>
      <c r="J1105" s="122"/>
      <c r="K1105" s="122"/>
      <c r="L1105" s="122"/>
      <c r="M1105" s="2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</row>
    <row r="1106" spans="1:28" ht="12.75" customHeight="1" x14ac:dyDescent="0.25">
      <c r="A1106" s="2"/>
      <c r="B1106" s="2"/>
      <c r="C1106" s="2"/>
      <c r="D1106" s="2"/>
      <c r="E1106" s="25"/>
      <c r="F1106" s="26"/>
      <c r="G1106" s="2"/>
      <c r="H1106" s="2"/>
      <c r="I1106" s="124"/>
      <c r="J1106" s="122"/>
      <c r="K1106" s="122"/>
      <c r="L1106" s="122"/>
      <c r="M1106" s="2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</row>
    <row r="1107" spans="1:28" ht="12.75" customHeight="1" x14ac:dyDescent="0.25">
      <c r="A1107" s="2"/>
      <c r="B1107" s="2"/>
      <c r="C1107" s="2"/>
      <c r="D1107" s="2"/>
      <c r="E1107" s="25"/>
      <c r="F1107" s="26"/>
      <c r="G1107" s="2"/>
      <c r="H1107" s="2"/>
      <c r="I1107" s="124"/>
      <c r="J1107" s="122"/>
      <c r="K1107" s="122"/>
      <c r="L1107" s="122"/>
      <c r="M1107" s="2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</row>
    <row r="1108" spans="1:28" ht="12.75" customHeight="1" x14ac:dyDescent="0.25">
      <c r="A1108" s="2"/>
      <c r="B1108" s="2"/>
      <c r="C1108" s="2"/>
      <c r="D1108" s="2"/>
      <c r="E1108" s="25"/>
      <c r="F1108" s="26"/>
      <c r="G1108" s="2"/>
      <c r="H1108" s="2"/>
      <c r="I1108" s="124"/>
      <c r="J1108" s="122"/>
      <c r="K1108" s="122"/>
      <c r="L1108" s="122"/>
      <c r="M1108" s="2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</row>
    <row r="1109" spans="1:28" ht="12.75" customHeight="1" x14ac:dyDescent="0.25">
      <c r="A1109" s="2"/>
      <c r="B1109" s="2"/>
      <c r="C1109" s="2"/>
      <c r="D1109" s="2"/>
      <c r="E1109" s="25"/>
      <c r="F1109" s="26"/>
      <c r="G1109" s="2"/>
      <c r="H1109" s="2"/>
      <c r="I1109" s="124"/>
      <c r="J1109" s="122"/>
      <c r="K1109" s="122"/>
      <c r="L1109" s="122"/>
      <c r="M1109" s="2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</row>
    <row r="1110" spans="1:28" ht="12.75" customHeight="1" x14ac:dyDescent="0.25">
      <c r="A1110" s="2"/>
      <c r="B1110" s="2"/>
      <c r="C1110" s="2"/>
      <c r="D1110" s="2"/>
      <c r="E1110" s="25"/>
      <c r="F1110" s="26"/>
      <c r="G1110" s="2"/>
      <c r="H1110" s="2"/>
      <c r="I1110" s="124"/>
      <c r="J1110" s="122"/>
      <c r="K1110" s="122"/>
      <c r="L1110" s="122"/>
      <c r="M1110" s="2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</row>
    <row r="1111" spans="1:28" ht="12.75" customHeight="1" x14ac:dyDescent="0.25">
      <c r="A1111" s="2"/>
      <c r="B1111" s="2"/>
      <c r="C1111" s="2"/>
      <c r="D1111" s="2"/>
      <c r="E1111" s="25"/>
      <c r="F1111" s="26"/>
      <c r="G1111" s="2"/>
      <c r="H1111" s="2"/>
      <c r="I1111" s="124"/>
      <c r="J1111" s="122"/>
      <c r="K1111" s="122"/>
      <c r="L1111" s="122"/>
      <c r="M1111" s="2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</row>
    <row r="1112" spans="1:28" ht="12.75" customHeight="1" x14ac:dyDescent="0.25">
      <c r="A1112" s="2"/>
      <c r="B1112" s="2"/>
      <c r="C1112" s="2"/>
      <c r="D1112" s="2"/>
      <c r="E1112" s="25"/>
      <c r="F1112" s="26"/>
      <c r="G1112" s="2"/>
      <c r="H1112" s="2"/>
      <c r="I1112" s="124"/>
      <c r="J1112" s="122"/>
      <c r="K1112" s="122"/>
      <c r="L1112" s="122"/>
      <c r="M1112" s="2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</row>
  </sheetData>
  <mergeCells count="1">
    <mergeCell ref="A5:R5"/>
  </mergeCells>
  <phoneticPr fontId="32" type="noConversion"/>
  <conditionalFormatting sqref="Q7:Q263 Q265:Q368">
    <cfRule type="containsText" dxfId="18" priority="15" operator="containsText" text="DISPONIBLE">
      <formula>NOT(ISERROR(SEARCH(("DISPONIBLE"),(Q7))))</formula>
    </cfRule>
  </conditionalFormatting>
  <conditionalFormatting sqref="Q7:Q263 Q265:Q368">
    <cfRule type="containsText" dxfId="17" priority="16" operator="containsText" text="POR VENCER">
      <formula>NOT(ISERROR(SEARCH(("POR VENCER"),(Q7))))</formula>
    </cfRule>
  </conditionalFormatting>
  <conditionalFormatting sqref="Q7:Q263 Q265:Q368">
    <cfRule type="containsText" dxfId="16" priority="17" operator="containsText" text="VENCIDO">
      <formula>NOT(ISERROR(SEARCH(("VENCIDO"),(Q7))))</formula>
    </cfRule>
  </conditionalFormatting>
  <conditionalFormatting sqref="Q264">
    <cfRule type="containsText" dxfId="15" priority="4" operator="containsText" text="DISPONIBLE">
      <formula>NOT(ISERROR(SEARCH(("DISPONIBLE"),(Q264))))</formula>
    </cfRule>
  </conditionalFormatting>
  <conditionalFormatting sqref="Q264">
    <cfRule type="containsText" dxfId="14" priority="5" operator="containsText" text="POR VENCER">
      <formula>NOT(ISERROR(SEARCH(("POR VENCER"),(Q264))))</formula>
    </cfRule>
  </conditionalFormatting>
  <conditionalFormatting sqref="Q264">
    <cfRule type="containsText" dxfId="13" priority="6" operator="containsText" text="VENCIDO">
      <formula>NOT(ISERROR(SEARCH(("VENCIDO"),(Q264))))</formula>
    </cfRule>
  </conditionalFormatting>
  <conditionalFormatting sqref="A7:B8 B9:B344 A9:A368">
    <cfRule type="duplicateValues" dxfId="12" priority="42"/>
  </conditionalFormatting>
  <dataValidations count="3">
    <dataValidation type="list" allowBlank="1" showErrorMessage="1" sqref="C7:C368">
      <formula1>"EQUIPO_MEDICIÓN,HERRAMIENTAS,MAQUINARIA,EXTINTORES"</formula1>
    </dataValidation>
    <dataValidation type="list" allowBlank="1" showErrorMessage="1" sqref="D7:D368">
      <formula1>"ELECTRICIDAD,INSTRUMENTACIÓN,MECÁNICA,SCADA,GENERAL,LINO NAVA,SIXTO TORRES,N/A"</formula1>
    </dataValidation>
    <dataValidation type="list" allowBlank="1" showErrorMessage="1" sqref="M7:M368">
      <formula1>"ANUAL,SEMESTRAL,QUINCENAL"</formula1>
    </dataValidation>
  </dataValidations>
  <hyperlinks>
    <hyperlink ref="F7" r:id="rId1"/>
    <hyperlink ref="F8" r:id="rId2"/>
    <hyperlink ref="F9" r:id="rId3"/>
    <hyperlink ref="F10" r:id="rId4"/>
    <hyperlink ref="F12" r:id="rId5"/>
    <hyperlink ref="F19" r:id="rId6"/>
    <hyperlink ref="F21" r:id="rId7"/>
    <hyperlink ref="F22" r:id="rId8"/>
    <hyperlink ref="F23" r:id="rId9"/>
    <hyperlink ref="F24" r:id="rId10"/>
    <hyperlink ref="F33" r:id="rId11"/>
    <hyperlink ref="F34" r:id="rId12"/>
    <hyperlink ref="F35" r:id="rId13"/>
    <hyperlink ref="F36" r:id="rId14"/>
    <hyperlink ref="F37" r:id="rId15"/>
    <hyperlink ref="F38" r:id="rId16"/>
    <hyperlink ref="F39" r:id="rId17"/>
    <hyperlink ref="F48" r:id="rId18"/>
    <hyperlink ref="F52" r:id="rId19"/>
    <hyperlink ref="F63" r:id="rId20"/>
    <hyperlink ref="F68" r:id="rId21"/>
    <hyperlink ref="F69" r:id="rId22"/>
    <hyperlink ref="F70" r:id="rId23"/>
    <hyperlink ref="F71" r:id="rId24"/>
    <hyperlink ref="F73" r:id="rId25"/>
    <hyperlink ref="F74" r:id="rId26"/>
    <hyperlink ref="F104" r:id="rId27"/>
    <hyperlink ref="F98" r:id="rId28"/>
    <hyperlink ref="F99" r:id="rId29"/>
    <hyperlink ref="F100" r:id="rId30"/>
    <hyperlink ref="F105" r:id="rId31"/>
    <hyperlink ref="F106" r:id="rId32"/>
    <hyperlink ref="F107" r:id="rId33"/>
    <hyperlink ref="F109" r:id="rId34"/>
    <hyperlink ref="F123" r:id="rId35"/>
    <hyperlink ref="F124" r:id="rId36"/>
    <hyperlink ref="F125" r:id="rId37"/>
    <hyperlink ref="F126" r:id="rId38"/>
    <hyperlink ref="F127" r:id="rId39"/>
    <hyperlink ref="F128" r:id="rId40"/>
    <hyperlink ref="F129" r:id="rId41"/>
    <hyperlink ref="F130" r:id="rId42"/>
    <hyperlink ref="F131" r:id="rId43"/>
    <hyperlink ref="F132" r:id="rId44"/>
    <hyperlink ref="F133" r:id="rId45"/>
    <hyperlink ref="F134" r:id="rId46"/>
    <hyperlink ref="F135" r:id="rId47"/>
    <hyperlink ref="F136" r:id="rId48"/>
    <hyperlink ref="F137" r:id="rId49"/>
    <hyperlink ref="F138" r:id="rId50"/>
    <hyperlink ref="F139" r:id="rId51"/>
    <hyperlink ref="F140" r:id="rId52"/>
    <hyperlink ref="F141" r:id="rId53"/>
    <hyperlink ref="F142" r:id="rId54"/>
    <hyperlink ref="F143" r:id="rId55"/>
    <hyperlink ref="F144" r:id="rId56"/>
    <hyperlink ref="F145" r:id="rId57"/>
    <hyperlink ref="F146" r:id="rId58"/>
    <hyperlink ref="F147" r:id="rId59"/>
    <hyperlink ref="F148" r:id="rId60"/>
    <hyperlink ref="F149" r:id="rId61"/>
    <hyperlink ref="F150" r:id="rId62"/>
    <hyperlink ref="F211" r:id="rId63"/>
    <hyperlink ref="F212" r:id="rId64" display="APAREJOS DE IZAMIENTO (CANCAMOS)_x000a_BG-1"/>
    <hyperlink ref="F214" r:id="rId65" display="APAREJOS DE IZAMIENTO (CANCAMOS)_x000a_BG-2"/>
    <hyperlink ref="F217" r:id="rId66"/>
    <hyperlink ref="F218" r:id="rId67"/>
    <hyperlink ref="F220" r:id="rId68"/>
    <hyperlink ref="F245" r:id="rId69"/>
    <hyperlink ref="F246" r:id="rId70"/>
    <hyperlink ref="F265" r:id="rId71"/>
    <hyperlink ref="F257" r:id="rId72"/>
    <hyperlink ref="F262" r:id="rId73"/>
    <hyperlink ref="F264" r:id="rId74"/>
    <hyperlink ref="F291" r:id="rId75"/>
    <hyperlink ref="F289" r:id="rId76"/>
    <hyperlink ref="F293" r:id="rId77"/>
    <hyperlink ref="F303" r:id="rId78"/>
    <hyperlink ref="F304" r:id="rId79"/>
    <hyperlink ref="F305" r:id="rId80"/>
    <hyperlink ref="F306" r:id="rId81"/>
    <hyperlink ref="F307" r:id="rId82"/>
    <hyperlink ref="F317" r:id="rId83"/>
    <hyperlink ref="F318" r:id="rId84"/>
    <hyperlink ref="F327" r:id="rId85"/>
    <hyperlink ref="F328" r:id="rId86"/>
    <hyperlink ref="F335" r:id="rId87"/>
    <hyperlink ref="F340" r:id="rId88"/>
    <hyperlink ref="F329" r:id="rId89"/>
    <hyperlink ref="F270" r:id="rId90"/>
    <hyperlink ref="F269" r:id="rId91"/>
    <hyperlink ref="F341" r:id="rId92"/>
    <hyperlink ref="F266" r:id="rId93"/>
    <hyperlink ref="F267" r:id="rId94"/>
    <hyperlink ref="F268" r:id="rId95"/>
    <hyperlink ref="F91" r:id="rId96"/>
    <hyperlink ref="F92" r:id="rId97"/>
    <hyperlink ref="F95" r:id="rId98"/>
    <hyperlink ref="F326" r:id="rId99"/>
    <hyperlink ref="F272" r:id="rId100"/>
    <hyperlink ref="F110" r:id="rId101"/>
    <hyperlink ref="F118" r:id="rId102"/>
    <hyperlink ref="F119" r:id="rId103"/>
    <hyperlink ref="F75" r:id="rId104"/>
    <hyperlink ref="F271" r:id="rId105"/>
    <hyperlink ref="F60" r:id="rId106"/>
    <hyperlink ref="F61" r:id="rId107"/>
    <hyperlink ref="F59" r:id="rId108"/>
    <hyperlink ref="F273" r:id="rId109"/>
    <hyperlink ref="F274" r:id="rId110"/>
    <hyperlink ref="F258" r:id="rId111"/>
    <hyperlink ref="F259" r:id="rId112"/>
    <hyperlink ref="F55" r:id="rId113"/>
    <hyperlink ref="F58" r:id="rId114"/>
    <hyperlink ref="F255" r:id="rId115"/>
    <hyperlink ref="F260" r:id="rId116"/>
    <hyperlink ref="F261" r:id="rId117"/>
    <hyperlink ref="F254" r:id="rId118"/>
    <hyperlink ref="F252" r:id="rId119"/>
    <hyperlink ref="F247" r:id="rId120"/>
    <hyperlink ref="F248" r:id="rId121"/>
    <hyperlink ref="F249" r:id="rId122"/>
    <hyperlink ref="F250" r:id="rId123"/>
    <hyperlink ref="F251" r:id="rId124"/>
    <hyperlink ref="F323" r:id="rId125"/>
    <hyperlink ref="F324" r:id="rId126"/>
    <hyperlink ref="F256" r:id="rId127"/>
    <hyperlink ref="F17" r:id="rId128"/>
    <hyperlink ref="F47" r:id="rId129"/>
    <hyperlink ref="F49" r:id="rId130"/>
    <hyperlink ref="F50" r:id="rId131"/>
    <hyperlink ref="F51" r:id="rId132"/>
    <hyperlink ref="F64" r:id="rId133"/>
    <hyperlink ref="F18" r:id="rId134"/>
    <hyperlink ref="F53" r:id="rId135"/>
    <hyperlink ref="F45" r:id="rId136"/>
    <hyperlink ref="F46" r:id="rId137"/>
    <hyperlink ref="F41" r:id="rId138"/>
    <hyperlink ref="F43" r:id="rId139"/>
    <hyperlink ref="F40" r:id="rId140"/>
    <hyperlink ref="F42" r:id="rId141"/>
    <hyperlink ref="F342" r:id="rId142"/>
    <hyperlink ref="F330" r:id="rId143"/>
    <hyperlink ref="F221" r:id="rId144"/>
    <hyperlink ref="F222" r:id="rId145"/>
    <hyperlink ref="F223" r:id="rId146"/>
    <hyperlink ref="F227" r:id="rId147"/>
    <hyperlink ref="F228" r:id="rId148"/>
    <hyperlink ref="F229" r:id="rId149"/>
    <hyperlink ref="F225" r:id="rId150"/>
    <hyperlink ref="F216" r:id="rId151"/>
    <hyperlink ref="F224" r:id="rId152"/>
    <hyperlink ref="F44" r:id="rId153"/>
    <hyperlink ref="F28" r:id="rId154"/>
    <hyperlink ref="F152" r:id="rId155"/>
    <hyperlink ref="F153" r:id="rId156"/>
    <hyperlink ref="F154" r:id="rId157"/>
    <hyperlink ref="F156" r:id="rId158"/>
    <hyperlink ref="F157" r:id="rId159"/>
    <hyperlink ref="F158" r:id="rId160"/>
    <hyperlink ref="F159" r:id="rId161"/>
    <hyperlink ref="F160" r:id="rId162"/>
    <hyperlink ref="F161" r:id="rId163"/>
    <hyperlink ref="F162" r:id="rId164"/>
    <hyperlink ref="F163" r:id="rId165"/>
    <hyperlink ref="F164" r:id="rId166"/>
    <hyperlink ref="F165" r:id="rId167"/>
    <hyperlink ref="F166" r:id="rId168"/>
    <hyperlink ref="F167" r:id="rId169"/>
    <hyperlink ref="F168" r:id="rId170"/>
    <hyperlink ref="F169" r:id="rId171"/>
    <hyperlink ref="F170" r:id="rId172"/>
    <hyperlink ref="F171" r:id="rId173"/>
    <hyperlink ref="F172" r:id="rId174"/>
    <hyperlink ref="F173" r:id="rId175"/>
    <hyperlink ref="F174" r:id="rId176"/>
    <hyperlink ref="F175" r:id="rId177"/>
    <hyperlink ref="F176" r:id="rId178"/>
    <hyperlink ref="F177" r:id="rId179"/>
    <hyperlink ref="F178" r:id="rId180"/>
    <hyperlink ref="F179" r:id="rId181"/>
    <hyperlink ref="F180" r:id="rId182"/>
    <hyperlink ref="F181" r:id="rId183"/>
    <hyperlink ref="F182" r:id="rId184"/>
    <hyperlink ref="F183" r:id="rId185"/>
    <hyperlink ref="F184" r:id="rId186"/>
    <hyperlink ref="F185" r:id="rId187"/>
    <hyperlink ref="F186" r:id="rId188"/>
    <hyperlink ref="F151" r:id="rId189"/>
    <hyperlink ref="F338" r:id="rId190"/>
    <hyperlink ref="F233" r:id="rId191"/>
    <hyperlink ref="F234" r:id="rId192"/>
    <hyperlink ref="F13" r:id="rId193"/>
    <hyperlink ref="F16" r:id="rId194"/>
    <hyperlink ref="F65" r:id="rId195"/>
    <hyperlink ref="F66" r:id="rId196"/>
    <hyperlink ref="F67" r:id="rId197"/>
    <hyperlink ref="F14" r:id="rId198"/>
    <hyperlink ref="F15" r:id="rId199"/>
    <hyperlink ref="F25" r:id="rId200"/>
    <hyperlink ref="F80" r:id="rId201"/>
    <hyperlink ref="F78" r:id="rId202"/>
    <hyperlink ref="F79" r:id="rId203"/>
    <hyperlink ref="F81" r:id="rId204"/>
    <hyperlink ref="F82" r:id="rId205"/>
    <hyperlink ref="F83" r:id="rId206"/>
    <hyperlink ref="F88" r:id="rId207"/>
    <hyperlink ref="F84" r:id="rId208"/>
    <hyperlink ref="F85" r:id="rId209"/>
    <hyperlink ref="F86" r:id="rId210"/>
    <hyperlink ref="F89" r:id="rId211"/>
    <hyperlink ref="F90" r:id="rId212"/>
    <hyperlink ref="F26" r:id="rId213"/>
    <hyperlink ref="F62" r:id="rId214"/>
    <hyperlink ref="F87" r:id="rId215"/>
    <hyperlink ref="F275" r:id="rId216"/>
    <hyperlink ref="F276" r:id="rId217"/>
    <hyperlink ref="F281" r:id="rId218"/>
    <hyperlink ref="F93" r:id="rId219"/>
    <hyperlink ref="F94" r:id="rId220"/>
    <hyperlink ref="F96" r:id="rId221"/>
    <hyperlink ref="F230" r:id="rId222"/>
    <hyperlink ref="F231" r:id="rId223"/>
    <hyperlink ref="F232" r:id="rId224"/>
    <hyperlink ref="F253" r:id="rId225"/>
    <hyperlink ref="F263" r:id="rId226"/>
    <hyperlink ref="F283" r:id="rId227"/>
    <hyperlink ref="F282" r:id="rId228"/>
    <hyperlink ref="F284" r:id="rId229"/>
    <hyperlink ref="F344" r:id="rId230"/>
    <hyperlink ref="F343" r:id="rId231"/>
    <hyperlink ref="F333" r:id="rId232"/>
    <hyperlink ref="F321" r:id="rId233"/>
    <hyperlink ref="F319" r:id="rId234"/>
    <hyperlink ref="F320" r:id="rId235"/>
    <hyperlink ref="F290" r:id="rId236"/>
    <hyperlink ref="F292" r:id="rId237"/>
    <hyperlink ref="F296" r:id="rId238"/>
    <hyperlink ref="F294" r:id="rId239"/>
    <hyperlink ref="F295" r:id="rId240"/>
    <hyperlink ref="F11" r:id="rId241"/>
    <hyperlink ref="F27" r:id="rId242"/>
    <hyperlink ref="F76" r:id="rId243"/>
    <hyperlink ref="F77" r:id="rId244"/>
    <hyperlink ref="F155" r:id="rId245"/>
    <hyperlink ref="F312" r:id="rId246"/>
    <hyperlink ref="F309" r:id="rId247"/>
    <hyperlink ref="F310" r:id="rId248"/>
    <hyperlink ref="F311" r:id="rId249"/>
    <hyperlink ref="F313" r:id="rId250"/>
    <hyperlink ref="F308" r:id="rId251"/>
    <hyperlink ref="F315" r:id="rId252"/>
    <hyperlink ref="F316" r:id="rId253"/>
    <hyperlink ref="F314" r:id="rId254"/>
    <hyperlink ref="F72" r:id="rId255"/>
    <hyperlink ref="F332" r:id="rId256"/>
    <hyperlink ref="F219" r:id="rId257"/>
    <hyperlink ref="F108" r:id="rId258"/>
    <hyperlink ref="F339" r:id="rId259"/>
    <hyperlink ref="F226" r:id="rId260"/>
    <hyperlink ref="F57" r:id="rId261"/>
    <hyperlink ref="F29" r:id="rId262"/>
    <hyperlink ref="F30" r:id="rId263"/>
    <hyperlink ref="F31" r:id="rId264"/>
    <hyperlink ref="F111" r:id="rId265"/>
    <hyperlink ref="F112" r:id="rId266"/>
    <hyperlink ref="F113" r:id="rId267"/>
    <hyperlink ref="F114" r:id="rId268"/>
    <hyperlink ref="F120" r:id="rId269"/>
    <hyperlink ref="F121" r:id="rId270"/>
    <hyperlink ref="F235" r:id="rId271"/>
    <hyperlink ref="F209" r:id="rId272"/>
    <hyperlink ref="F210" r:id="rId273"/>
    <hyperlink ref="F97" r:id="rId274"/>
    <hyperlink ref="F322" r:id="rId275"/>
    <hyperlink ref="F213" r:id="rId276"/>
    <hyperlink ref="F215" r:id="rId277"/>
    <hyperlink ref="F277" r:id="rId278"/>
    <hyperlink ref="F278" r:id="rId279"/>
    <hyperlink ref="F279" r:id="rId280"/>
    <hyperlink ref="F280" r:id="rId281"/>
    <hyperlink ref="F334" r:id="rId282"/>
    <hyperlink ref="F302" r:id="rId283"/>
    <hyperlink ref="F285" r:id="rId284"/>
    <hyperlink ref="F297" r:id="rId285"/>
    <hyperlink ref="F298" r:id="rId286"/>
    <hyperlink ref="F288" r:id="rId287"/>
    <hyperlink ref="F287" r:id="rId288"/>
    <hyperlink ref="F236" r:id="rId289"/>
    <hyperlink ref="F32" r:id="rId290"/>
    <hyperlink ref="F286" r:id="rId291"/>
    <hyperlink ref="F299" r:id="rId292"/>
    <hyperlink ref="F300" r:id="rId293"/>
    <hyperlink ref="F337" r:id="rId294"/>
    <hyperlink ref="F336" r:id="rId295"/>
    <hyperlink ref="F331" r:id="rId296"/>
    <hyperlink ref="F56" r:id="rId297"/>
    <hyperlink ref="F237" r:id="rId298"/>
    <hyperlink ref="F238" r:id="rId299"/>
    <hyperlink ref="F239" r:id="rId300"/>
    <hyperlink ref="F240" r:id="rId301"/>
    <hyperlink ref="F241" r:id="rId302"/>
    <hyperlink ref="F242" r:id="rId303"/>
    <hyperlink ref="F243" r:id="rId304"/>
    <hyperlink ref="F244" r:id="rId305"/>
    <hyperlink ref="F102" r:id="rId306"/>
    <hyperlink ref="F103" r:id="rId307"/>
    <hyperlink ref="F301" r:id="rId308" location=" CE-1.pdf"/>
    <hyperlink ref="F54" r:id="rId309"/>
    <hyperlink ref="F101" r:id="rId310"/>
    <hyperlink ref="F325" r:id="rId311"/>
    <hyperlink ref="F116" r:id="rId312"/>
    <hyperlink ref="F115" r:id="rId313"/>
    <hyperlink ref="F117" r:id="rId314"/>
    <hyperlink ref="F122" r:id="rId315"/>
    <hyperlink ref="S151" r:id="rId316" tooltip="Abrir certificado de extintores"/>
    <hyperlink ref="S156" r:id="rId317" tooltip="Abrir certificado de extintores"/>
    <hyperlink ref="S164" r:id="rId318" tooltip="Abrir certificado de extintores"/>
    <hyperlink ref="S167" r:id="rId319" tooltip="Abrir certificado de extintores"/>
    <hyperlink ref="S169" r:id="rId320" tooltip="Abrir certificado de extintores"/>
    <hyperlink ref="S171" r:id="rId321" tooltip="Abrir certificado de extintores"/>
    <hyperlink ref="S174" r:id="rId322" tooltip="Abrir certificado de extintores"/>
    <hyperlink ref="S179" r:id="rId323" tooltip="Abrir certificado de extintores"/>
  </hyperlinks>
  <printOptions horizontalCentered="1"/>
  <pageMargins left="0.27559055118110237" right="0.35433070866141736" top="0.19685039370078741" bottom="0.55118110236220474" header="0" footer="0"/>
  <pageSetup scale="27" fitToHeight="0" orientation="landscape" r:id="rId324"/>
  <headerFooter>
    <oddFooter>&amp;LPágina &amp;P de &amp;RRevisión: "2" Fecha: 10/2024</oddFooter>
  </headerFooter>
  <drawing r:id="rId325"/>
  <legacyDrawing r:id="rId326"/>
  <tableParts count="1">
    <tablePart r:id="rId3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U1046"/>
  <sheetViews>
    <sheetView showGridLines="0" workbookViewId="0"/>
  </sheetViews>
  <sheetFormatPr defaultColWidth="14.42578125" defaultRowHeight="15" customHeight="1" x14ac:dyDescent="0.25"/>
  <cols>
    <col min="1" max="1" width="5.5703125" style="45" customWidth="1"/>
    <col min="2" max="2" width="28.5703125" style="45" customWidth="1"/>
    <col min="3" max="3" width="27.85546875" style="45" customWidth="1"/>
    <col min="4" max="4" width="50.7109375" style="128" customWidth="1"/>
    <col min="5" max="5" width="26.140625" style="45" customWidth="1"/>
    <col min="6" max="6" width="20.85546875" style="45" customWidth="1"/>
    <col min="7" max="7" width="26.28515625" style="45" customWidth="1"/>
    <col min="8" max="8" width="32.140625" style="45" customWidth="1"/>
    <col min="9" max="9" width="19.7109375" style="45" customWidth="1"/>
    <col min="10" max="10" width="19.42578125" style="45" customWidth="1"/>
    <col min="11" max="11" width="49.7109375" style="45" customWidth="1"/>
    <col min="12" max="21" width="10.7109375" customWidth="1"/>
  </cols>
  <sheetData>
    <row r="1" spans="1:21" ht="12.75" customHeight="1" x14ac:dyDescent="0.25">
      <c r="A1" s="2"/>
      <c r="B1" s="2"/>
      <c r="C1" s="3"/>
      <c r="D1" s="4"/>
      <c r="E1" s="5"/>
      <c r="F1" s="5"/>
      <c r="G1" s="6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2.75" customHeight="1" x14ac:dyDescent="0.25">
      <c r="A2" s="3"/>
      <c r="B2" s="3"/>
      <c r="C2" s="3"/>
      <c r="D2" s="4"/>
      <c r="E2" s="7" t="s">
        <v>0</v>
      </c>
      <c r="F2" s="8">
        <f ca="1">TODAY()</f>
        <v>46224</v>
      </c>
      <c r="G2" s="9"/>
      <c r="H2" s="3"/>
      <c r="I2" s="3"/>
      <c r="J2" s="3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2.75" customHeight="1" x14ac:dyDescent="0.25">
      <c r="A3" s="4"/>
      <c r="B3" s="4"/>
      <c r="C3" s="4"/>
      <c r="D3" s="4"/>
      <c r="E3" s="4"/>
      <c r="F3" s="4"/>
      <c r="G3" s="10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2.75" customHeight="1" thickBot="1" x14ac:dyDescent="0.3">
      <c r="A4" s="5"/>
      <c r="B4" s="5"/>
      <c r="C4" s="3"/>
      <c r="D4" s="4"/>
      <c r="E4" s="5"/>
      <c r="F4" s="5"/>
      <c r="G4" s="6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2.5" customHeight="1" thickBot="1" x14ac:dyDescent="0.3">
      <c r="A5" s="150" t="s">
        <v>1</v>
      </c>
      <c r="B5" s="152"/>
      <c r="C5" s="152"/>
      <c r="D5" s="152"/>
      <c r="E5" s="152"/>
      <c r="F5" s="152"/>
      <c r="G5" s="152"/>
      <c r="H5" s="152"/>
      <c r="I5" s="152"/>
      <c r="J5" s="152"/>
      <c r="K5" s="153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40.5" customHeight="1" x14ac:dyDescent="0.25">
      <c r="A6" s="53" t="s">
        <v>2</v>
      </c>
      <c r="B6" s="13" t="s">
        <v>4</v>
      </c>
      <c r="C6" s="13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1215</v>
      </c>
      <c r="J6" s="13" t="s">
        <v>1216</v>
      </c>
      <c r="K6" s="54" t="s">
        <v>16</v>
      </c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45" customHeight="1" x14ac:dyDescent="0.25">
      <c r="A7" s="66">
        <v>1</v>
      </c>
      <c r="B7" s="56" t="s">
        <v>76</v>
      </c>
      <c r="C7" s="63" t="s">
        <v>1270</v>
      </c>
      <c r="D7" s="56" t="s">
        <v>1325</v>
      </c>
      <c r="E7" s="56" t="s">
        <v>313</v>
      </c>
      <c r="F7" s="60" t="s">
        <v>305</v>
      </c>
      <c r="G7" s="43" t="s">
        <v>308</v>
      </c>
      <c r="H7" s="43" t="s">
        <v>23</v>
      </c>
      <c r="I7" s="57">
        <v>45505</v>
      </c>
      <c r="J7" s="57" t="str" cm="1">
        <f t="array" aca="1" ref="J7" ca="1">IFERROR(_xlfn.IFS(#REF!="ANUAL",Table_13[[#This Row],[FECHA DE FABRICACIÓN]]+365,#REF!="SEMESTRAL",Table_13[[#This Row],[FECHA DE FABRICACIÓN]]+183,#REF!="QUINCENAL",Table_13[[#This Row],[FECHA DE FABRICACIÓN]]+15), "")</f>
        <v/>
      </c>
      <c r="K7" s="105" t="s">
        <v>1330</v>
      </c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ht="45" customHeight="1" x14ac:dyDescent="0.25">
      <c r="A8" s="66">
        <v>2</v>
      </c>
      <c r="B8" s="56" t="s">
        <v>76</v>
      </c>
      <c r="C8" s="63" t="s">
        <v>1269</v>
      </c>
      <c r="D8" s="56" t="s">
        <v>327</v>
      </c>
      <c r="E8" s="56" t="s">
        <v>313</v>
      </c>
      <c r="F8" s="60" t="s">
        <v>305</v>
      </c>
      <c r="G8" s="43" t="s">
        <v>308</v>
      </c>
      <c r="H8" s="43" t="s">
        <v>23</v>
      </c>
      <c r="I8" s="57">
        <v>44958</v>
      </c>
      <c r="J8" s="57"/>
      <c r="K8" s="105" t="s">
        <v>1330</v>
      </c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84" x14ac:dyDescent="0.25">
      <c r="A9" s="66">
        <v>3</v>
      </c>
      <c r="B9" s="56" t="s">
        <v>76</v>
      </c>
      <c r="C9" s="63" t="s">
        <v>1263</v>
      </c>
      <c r="D9" s="56" t="s">
        <v>303</v>
      </c>
      <c r="E9" s="43" t="s">
        <v>314</v>
      </c>
      <c r="F9" s="60" t="s">
        <v>315</v>
      </c>
      <c r="G9" s="43" t="s">
        <v>306</v>
      </c>
      <c r="H9" s="43" t="s">
        <v>23</v>
      </c>
      <c r="I9" s="57">
        <v>45474</v>
      </c>
      <c r="J9" s="57" t="str" cm="1">
        <f t="array" aca="1" ref="J9" ca="1">IFERROR(_xlfn.IFS(#REF!="ANUAL",Table_13[[#This Row],[FECHA DE FABRICACIÓN]]+365,#REF!="SEMESTRAL",Table_13[[#This Row],[FECHA DE FABRICACIÓN]]+183,#REF!="QUINCENAL",Table_13[[#This Row],[FECHA DE FABRICACIÓN]]+15), "")</f>
        <v/>
      </c>
      <c r="K9" s="62" t="s">
        <v>23</v>
      </c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ht="31.5" customHeight="1" x14ac:dyDescent="0.25">
      <c r="A10" s="66">
        <v>4</v>
      </c>
      <c r="B10" s="56" t="s">
        <v>76</v>
      </c>
      <c r="C10" s="63" t="s">
        <v>1264</v>
      </c>
      <c r="D10" s="56" t="s">
        <v>303</v>
      </c>
      <c r="E10" s="43" t="s">
        <v>1255</v>
      </c>
      <c r="F10" s="60" t="s">
        <v>315</v>
      </c>
      <c r="G10" s="43" t="s">
        <v>1256</v>
      </c>
      <c r="H10" s="43" t="s">
        <v>23</v>
      </c>
      <c r="I10" s="57">
        <v>45474</v>
      </c>
      <c r="J10" s="57"/>
      <c r="K10" s="62" t="s">
        <v>23</v>
      </c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ht="30" customHeight="1" x14ac:dyDescent="0.25">
      <c r="A11" s="66">
        <v>5</v>
      </c>
      <c r="B11" s="56" t="s">
        <v>76</v>
      </c>
      <c r="C11" s="63" t="s">
        <v>1265</v>
      </c>
      <c r="D11" s="56" t="s">
        <v>303</v>
      </c>
      <c r="E11" s="43" t="s">
        <v>1257</v>
      </c>
      <c r="F11" s="60" t="s">
        <v>315</v>
      </c>
      <c r="G11" s="43" t="s">
        <v>1258</v>
      </c>
      <c r="H11" s="43" t="s">
        <v>23</v>
      </c>
      <c r="I11" s="57">
        <v>45108</v>
      </c>
      <c r="J11" s="57"/>
      <c r="K11" s="62" t="s">
        <v>23</v>
      </c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30" customHeight="1" x14ac:dyDescent="0.25">
      <c r="A12" s="66">
        <v>6</v>
      </c>
      <c r="B12" s="56" t="s">
        <v>76</v>
      </c>
      <c r="C12" s="63" t="s">
        <v>1266</v>
      </c>
      <c r="D12" s="56" t="s">
        <v>303</v>
      </c>
      <c r="E12" s="43" t="s">
        <v>1259</v>
      </c>
      <c r="F12" s="60" t="s">
        <v>315</v>
      </c>
      <c r="G12" s="43" t="s">
        <v>1260</v>
      </c>
      <c r="H12" s="43" t="s">
        <v>23</v>
      </c>
      <c r="I12" s="57">
        <v>45108</v>
      </c>
      <c r="J12" s="57"/>
      <c r="K12" s="62" t="s">
        <v>89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1" ht="30" customHeight="1" x14ac:dyDescent="0.25">
      <c r="A13" s="66">
        <v>7</v>
      </c>
      <c r="B13" s="56" t="s">
        <v>76</v>
      </c>
      <c r="C13" s="63" t="s">
        <v>1267</v>
      </c>
      <c r="D13" s="56" t="s">
        <v>303</v>
      </c>
      <c r="E13" s="43" t="s">
        <v>1261</v>
      </c>
      <c r="F13" s="60" t="s">
        <v>315</v>
      </c>
      <c r="G13" s="43" t="s">
        <v>1262</v>
      </c>
      <c r="H13" s="43" t="s">
        <v>23</v>
      </c>
      <c r="I13" s="57">
        <v>45108</v>
      </c>
      <c r="J13" s="57"/>
      <c r="K13" s="62" t="s">
        <v>23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30" customHeight="1" x14ac:dyDescent="0.25">
      <c r="A14" s="66">
        <v>8</v>
      </c>
      <c r="B14" s="56" t="s">
        <v>76</v>
      </c>
      <c r="C14" s="63" t="s">
        <v>1326</v>
      </c>
      <c r="D14" s="56" t="s">
        <v>303</v>
      </c>
      <c r="E14" s="43" t="s">
        <v>1261</v>
      </c>
      <c r="F14" s="60" t="s">
        <v>315</v>
      </c>
      <c r="G14" s="43" t="s">
        <v>1262</v>
      </c>
      <c r="H14" s="43" t="s">
        <v>23</v>
      </c>
      <c r="I14" s="57">
        <v>45108</v>
      </c>
      <c r="J14" s="57"/>
      <c r="K14" s="104" t="s">
        <v>1330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1" ht="30" customHeight="1" x14ac:dyDescent="0.25">
      <c r="A15" s="66">
        <v>9</v>
      </c>
      <c r="B15" s="56" t="s">
        <v>76</v>
      </c>
      <c r="C15" s="63" t="s">
        <v>1327</v>
      </c>
      <c r="D15" s="56" t="s">
        <v>303</v>
      </c>
      <c r="E15" s="43" t="s">
        <v>1261</v>
      </c>
      <c r="F15" s="60" t="s">
        <v>315</v>
      </c>
      <c r="G15" s="43" t="s">
        <v>1262</v>
      </c>
      <c r="H15" s="43" t="s">
        <v>23</v>
      </c>
      <c r="I15" s="57">
        <v>45108</v>
      </c>
      <c r="J15" s="57"/>
      <c r="K15" s="62" t="s">
        <v>23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1" ht="30" customHeight="1" x14ac:dyDescent="0.25">
      <c r="A16" s="66">
        <v>10</v>
      </c>
      <c r="B16" s="56" t="s">
        <v>76</v>
      </c>
      <c r="C16" s="63" t="s">
        <v>946</v>
      </c>
      <c r="D16" s="56" t="s">
        <v>303</v>
      </c>
      <c r="E16" s="43">
        <v>19092000250</v>
      </c>
      <c r="F16" s="60" t="s">
        <v>317</v>
      </c>
      <c r="G16" s="43" t="s">
        <v>318</v>
      </c>
      <c r="H16" s="43" t="s">
        <v>23</v>
      </c>
      <c r="I16" s="57">
        <v>45170</v>
      </c>
      <c r="J16" s="57" t="str" cm="1">
        <f t="array" aca="1" ref="J16" ca="1">IFERROR(_xlfn.IFS(#REF!="ANUAL",Table_13[[#This Row],[FECHA DE FABRICACIÓN]]+365,#REF!="SEMESTRAL",Table_13[[#This Row],[FECHA DE FABRICACIÓN]]+183,#REF!="QUINCENAL",Table_13[[#This Row],[FECHA DE FABRICACIÓN]]+15), "")</f>
        <v/>
      </c>
      <c r="K16" s="61" t="s">
        <v>1329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30" customHeight="1" x14ac:dyDescent="0.25">
      <c r="A17" s="66">
        <v>11</v>
      </c>
      <c r="B17" s="56" t="s">
        <v>76</v>
      </c>
      <c r="C17" s="63" t="s">
        <v>1268</v>
      </c>
      <c r="D17" s="56" t="s">
        <v>303</v>
      </c>
      <c r="E17" s="43">
        <v>19092000250</v>
      </c>
      <c r="F17" s="60" t="s">
        <v>317</v>
      </c>
      <c r="G17" s="43" t="s">
        <v>318</v>
      </c>
      <c r="H17" s="43" t="s">
        <v>23</v>
      </c>
      <c r="I17" s="57">
        <v>45536</v>
      </c>
      <c r="J17" s="57" t="str" cm="1">
        <f t="array" aca="1" ref="J17" ca="1">IFERROR(_xlfn.IFS(#REF!="ANUAL",Table_13[[#This Row],[FECHA DE FABRICACIÓN]]+365,#REF!="SEMESTRAL",Table_13[[#This Row],[FECHA DE FABRICACIÓN]]+183,#REF!="QUINCENAL",Table_13[[#This Row],[FECHA DE FABRICACIÓN]]+15), "")</f>
        <v/>
      </c>
      <c r="K17" s="61" t="s">
        <v>89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30" customHeight="1" x14ac:dyDescent="0.25">
      <c r="A18" s="66">
        <v>12</v>
      </c>
      <c r="B18" s="56" t="s">
        <v>76</v>
      </c>
      <c r="C18" s="63" t="s">
        <v>948</v>
      </c>
      <c r="D18" s="56" t="s">
        <v>303</v>
      </c>
      <c r="E18" s="43">
        <v>19092000250</v>
      </c>
      <c r="F18" s="60" t="s">
        <v>317</v>
      </c>
      <c r="G18" s="43" t="s">
        <v>318</v>
      </c>
      <c r="H18" s="43" t="s">
        <v>23</v>
      </c>
      <c r="I18" s="57">
        <v>45536</v>
      </c>
      <c r="J18" s="57" t="str" cm="1">
        <f t="array" aca="1" ref="J18" ca="1">IFERROR(_xlfn.IFS(#REF!="ANUAL",Table_13[[#This Row],[FECHA DE FABRICACIÓN]]+365,#REF!="SEMESTRAL",Table_13[[#This Row],[FECHA DE FABRICACIÓN]]+183,#REF!="QUINCENAL",Table_13[[#This Row],[FECHA DE FABRICACIÓN]]+15), "")</f>
        <v/>
      </c>
      <c r="K18" s="61" t="s">
        <v>89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36.75" customHeight="1" x14ac:dyDescent="0.25">
      <c r="A19" s="66">
        <v>13</v>
      </c>
      <c r="B19" s="56" t="s">
        <v>76</v>
      </c>
      <c r="C19" s="63" t="s">
        <v>949</v>
      </c>
      <c r="D19" s="43" t="s">
        <v>303</v>
      </c>
      <c r="E19" s="43">
        <v>19092000250</v>
      </c>
      <c r="F19" s="60" t="s">
        <v>317</v>
      </c>
      <c r="G19" s="43" t="s">
        <v>318</v>
      </c>
      <c r="H19" s="43" t="s">
        <v>23</v>
      </c>
      <c r="I19" s="57">
        <v>45536</v>
      </c>
      <c r="J19" s="57" t="str" cm="1">
        <f t="array" aca="1" ref="J19" ca="1">IFERROR(_xlfn.IFS(#REF!="ANUAL",Table_13[[#This Row],[FECHA DE FABRICACIÓN]]+365,#REF!="SEMESTRAL",Table_13[[#This Row],[FECHA DE FABRICACIÓN]]+183,#REF!="QUINCENAL",Table_13[[#This Row],[FECHA DE FABRICACIÓN]]+15), "")</f>
        <v/>
      </c>
      <c r="K19" s="61" t="s">
        <v>89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30" customHeight="1" x14ac:dyDescent="0.25">
      <c r="A20" s="66">
        <v>14</v>
      </c>
      <c r="B20" s="56" t="s">
        <v>76</v>
      </c>
      <c r="C20" s="63" t="s">
        <v>950</v>
      </c>
      <c r="D20" s="43" t="s">
        <v>303</v>
      </c>
      <c r="E20" s="43">
        <v>19092000250</v>
      </c>
      <c r="F20" s="60" t="s">
        <v>317</v>
      </c>
      <c r="G20" s="43" t="s">
        <v>318</v>
      </c>
      <c r="H20" s="43" t="s">
        <v>23</v>
      </c>
      <c r="I20" s="57">
        <v>45536</v>
      </c>
      <c r="J20" s="57" t="str" cm="1">
        <f t="array" aca="1" ref="J20" ca="1">IFERROR(_xlfn.IFS(#REF!="ANUAL",Table_13[[#This Row],[FECHA DE FABRICACIÓN]]+365,#REF!="SEMESTRAL",Table_13[[#This Row],[FECHA DE FABRICACIÓN]]+183,#REF!="QUINCENAL",Table_13[[#This Row],[FECHA DE FABRICACIÓN]]+15), "")</f>
        <v/>
      </c>
      <c r="K20" s="61" t="s">
        <v>1328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ht="47.25" customHeight="1" x14ac:dyDescent="0.25">
      <c r="A21" s="66">
        <v>15</v>
      </c>
      <c r="B21" s="56" t="s">
        <v>76</v>
      </c>
      <c r="C21" s="63" t="s">
        <v>951</v>
      </c>
      <c r="D21" s="43" t="s">
        <v>303</v>
      </c>
      <c r="E21" s="43">
        <v>19092000250</v>
      </c>
      <c r="F21" s="60" t="s">
        <v>320</v>
      </c>
      <c r="G21" s="43" t="s">
        <v>318</v>
      </c>
      <c r="H21" s="43" t="s">
        <v>23</v>
      </c>
      <c r="I21" s="57">
        <v>45536</v>
      </c>
      <c r="J21" s="57" t="str" cm="1">
        <f t="array" aca="1" ref="J21" ca="1">IFERROR(_xlfn.IFS(#REF!="ANUAL",Table_13[[#This Row],[FECHA DE FABRICACIÓN]]+365,#REF!="SEMESTRAL",Table_13[[#This Row],[FECHA DE FABRICACIÓN]]+183,#REF!="QUINCENAL",Table_13[[#This Row],[FECHA DE FABRICACIÓN]]+15), "")</f>
        <v/>
      </c>
      <c r="K21" s="61" t="s">
        <v>23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39.75" customHeight="1" x14ac:dyDescent="0.25">
      <c r="A22" s="66">
        <v>16</v>
      </c>
      <c r="B22" s="56" t="s">
        <v>76</v>
      </c>
      <c r="C22" s="63" t="s">
        <v>952</v>
      </c>
      <c r="D22" s="43" t="s">
        <v>321</v>
      </c>
      <c r="E22" s="43">
        <v>19092000250</v>
      </c>
      <c r="F22" s="60" t="s">
        <v>322</v>
      </c>
      <c r="G22" s="43" t="s">
        <v>318</v>
      </c>
      <c r="H22" s="43" t="s">
        <v>23</v>
      </c>
      <c r="I22" s="57">
        <v>45658</v>
      </c>
      <c r="J22" s="57" t="str" cm="1">
        <f t="array" aca="1" ref="J22" ca="1">IFERROR(_xlfn.IFS(#REF!="ANUAL",Table_13[[#This Row],[FECHA DE FABRICACIÓN]]+365,#REF!="SEMESTRAL",Table_13[[#This Row],[FECHA DE FABRICACIÓN]]+183,#REF!="QUINCENAL",Table_13[[#This Row],[FECHA DE FABRICACIÓN]]+15), "")</f>
        <v/>
      </c>
      <c r="K22" s="61" t="s">
        <v>23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ht="40.5" customHeight="1" x14ac:dyDescent="0.25">
      <c r="A23" s="66">
        <v>17</v>
      </c>
      <c r="B23" s="56" t="s">
        <v>76</v>
      </c>
      <c r="C23" s="63" t="s">
        <v>953</v>
      </c>
      <c r="D23" s="43" t="s">
        <v>321</v>
      </c>
      <c r="E23" s="43">
        <v>19092000250</v>
      </c>
      <c r="F23" s="60" t="s">
        <v>322</v>
      </c>
      <c r="G23" s="43" t="s">
        <v>318</v>
      </c>
      <c r="H23" s="43" t="s">
        <v>23</v>
      </c>
      <c r="I23" s="57">
        <v>45658</v>
      </c>
      <c r="J23" s="57" t="str" cm="1">
        <f t="array" aca="1" ref="J23" ca="1">IFERROR(_xlfn.IFS(#REF!="ANUAL",Table_13[[#This Row],[FECHA DE FABRICACIÓN]]+365,#REF!="SEMESTRAL",Table_13[[#This Row],[FECHA DE FABRICACIÓN]]+183,#REF!="QUINCENAL",Table_13[[#This Row],[FECHA DE FABRICACIÓN]]+15), "")</f>
        <v/>
      </c>
      <c r="K23" s="61" t="s">
        <v>23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30" customHeight="1" x14ac:dyDescent="0.25">
      <c r="A24" s="66">
        <v>18</v>
      </c>
      <c r="B24" s="56" t="s">
        <v>76</v>
      </c>
      <c r="C24" s="63" t="s">
        <v>954</v>
      </c>
      <c r="D24" s="43" t="s">
        <v>321</v>
      </c>
      <c r="E24" s="43">
        <v>19092000250</v>
      </c>
      <c r="F24" s="60" t="s">
        <v>322</v>
      </c>
      <c r="G24" s="43" t="s">
        <v>318</v>
      </c>
      <c r="H24" s="43" t="s">
        <v>23</v>
      </c>
      <c r="I24" s="57">
        <v>45658</v>
      </c>
      <c r="J24" s="57" t="str" cm="1">
        <f t="array" aca="1" ref="J24" ca="1">IFERROR(_xlfn.IFS(#REF!="ANUAL",Table_13[[#This Row],[FECHA DE FABRICACIÓN]]+365,#REF!="SEMESTRAL",Table_13[[#This Row],[FECHA DE FABRICACIÓN]]+183,#REF!="QUINCENAL",Table_13[[#This Row],[FECHA DE FABRICACIÓN]]+15), "")</f>
        <v/>
      </c>
      <c r="K24" s="61" t="s">
        <v>23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30" customHeight="1" x14ac:dyDescent="0.25">
      <c r="A25" s="66">
        <v>19</v>
      </c>
      <c r="B25" s="56" t="s">
        <v>76</v>
      </c>
      <c r="C25" s="63" t="s">
        <v>1028</v>
      </c>
      <c r="D25" s="43" t="s">
        <v>303</v>
      </c>
      <c r="E25" s="43" t="s">
        <v>378</v>
      </c>
      <c r="F25" s="60" t="s">
        <v>1033</v>
      </c>
      <c r="G25" s="43" t="s">
        <v>1035</v>
      </c>
      <c r="H25" s="43" t="s">
        <v>1030</v>
      </c>
      <c r="I25" s="57"/>
      <c r="J25" s="57" t="str" cm="1">
        <f t="array" aca="1" ref="J25" ca="1">IFERROR(_xlfn.IFS(#REF!="ANUAL",Table_13[[#This Row],[FECHA DE FABRICACIÓN]]+365,#REF!="SEMESTRAL",Table_13[[#This Row],[FECHA DE FABRICACIÓN]]+183,#REF!="QUINCENAL",Table_13[[#This Row],[FECHA DE FABRICACIÓN]]+15), "")</f>
        <v/>
      </c>
      <c r="K25" s="61" t="s">
        <v>721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ht="30" customHeight="1" x14ac:dyDescent="0.25">
      <c r="A26" s="66">
        <v>20</v>
      </c>
      <c r="B26" s="56" t="s">
        <v>76</v>
      </c>
      <c r="C26" s="63" t="s">
        <v>1029</v>
      </c>
      <c r="D26" s="43" t="s">
        <v>303</v>
      </c>
      <c r="E26" s="43" t="s">
        <v>378</v>
      </c>
      <c r="F26" s="60" t="s">
        <v>1034</v>
      </c>
      <c r="G26" s="43" t="s">
        <v>1035</v>
      </c>
      <c r="H26" s="43" t="s">
        <v>1030</v>
      </c>
      <c r="I26" s="57"/>
      <c r="J26" s="57" t="str" cm="1">
        <f t="array" aca="1" ref="J26" ca="1">IFERROR(_xlfn.IFS(#REF!="ANUAL",Table_13[[#This Row],[FECHA DE FABRICACIÓN]]+365,#REF!="SEMESTRAL",Table_13[[#This Row],[FECHA DE FABRICACIÓN]]+183,#REF!="QUINCENAL",Table_13[[#This Row],[FECHA DE FABRICACIÓN]]+15), "")</f>
        <v/>
      </c>
      <c r="K26" s="61" t="s">
        <v>721</v>
      </c>
      <c r="L26" s="15"/>
      <c r="M26" s="32"/>
      <c r="N26" s="15"/>
      <c r="O26" s="15"/>
      <c r="P26" s="15"/>
      <c r="Q26" s="15"/>
      <c r="R26" s="15"/>
      <c r="S26" s="15"/>
      <c r="T26" s="15"/>
      <c r="U26" s="15"/>
    </row>
    <row r="27" spans="1:21" ht="28.5" customHeight="1" x14ac:dyDescent="0.25">
      <c r="A27" s="66">
        <v>21</v>
      </c>
      <c r="B27" s="56" t="s">
        <v>76</v>
      </c>
      <c r="C27" s="63" t="s">
        <v>1217</v>
      </c>
      <c r="D27" s="43" t="s">
        <v>1159</v>
      </c>
      <c r="E27" s="43" t="s">
        <v>378</v>
      </c>
      <c r="F27" s="60" t="s">
        <v>1161</v>
      </c>
      <c r="G27" s="43" t="s">
        <v>1160</v>
      </c>
      <c r="H27" s="43" t="s">
        <v>23</v>
      </c>
      <c r="I27" s="57">
        <v>46023</v>
      </c>
      <c r="J27" s="57" t="str" cm="1">
        <f t="array" aca="1" ref="J27" ca="1">IFERROR(_xlfn.IFS(#REF!="ANUAL",Table_13[[#This Row],[FECHA DE FABRICACIÓN]]+365,#REF!="SEMESTRAL",Table_13[[#This Row],[FECHA DE FABRICACIÓN]]+183,#REF!="QUINCENAL",Table_13[[#This Row],[FECHA DE FABRICACIÓN]]+15), "")</f>
        <v/>
      </c>
      <c r="K27" s="61" t="s">
        <v>23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ht="28.5" customHeight="1" x14ac:dyDescent="0.25">
      <c r="A28" s="66">
        <v>22</v>
      </c>
      <c r="B28" s="56" t="s">
        <v>76</v>
      </c>
      <c r="C28" s="63" t="s">
        <v>1218</v>
      </c>
      <c r="D28" s="43" t="s">
        <v>1159</v>
      </c>
      <c r="E28" s="43" t="s">
        <v>378</v>
      </c>
      <c r="F28" s="60" t="s">
        <v>1219</v>
      </c>
      <c r="G28" s="43" t="s">
        <v>1160</v>
      </c>
      <c r="H28" s="43" t="s">
        <v>23</v>
      </c>
      <c r="I28" s="57">
        <v>46023</v>
      </c>
      <c r="J28" s="57"/>
      <c r="K28" s="61" t="s">
        <v>23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28.5" customHeight="1" x14ac:dyDescent="0.25">
      <c r="A29" s="66">
        <v>23</v>
      </c>
      <c r="B29" s="56" t="s">
        <v>76</v>
      </c>
      <c r="C29" s="63" t="s">
        <v>1220</v>
      </c>
      <c r="D29" s="43" t="s">
        <v>1159</v>
      </c>
      <c r="E29" s="43" t="s">
        <v>378</v>
      </c>
      <c r="F29" s="60" t="s">
        <v>1221</v>
      </c>
      <c r="G29" s="43" t="s">
        <v>1160</v>
      </c>
      <c r="H29" s="43" t="s">
        <v>23</v>
      </c>
      <c r="I29" s="57">
        <v>46023</v>
      </c>
      <c r="J29" s="57"/>
      <c r="K29" s="61" t="s">
        <v>23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ht="28.5" customHeight="1" x14ac:dyDescent="0.25">
      <c r="A30" s="66">
        <v>24</v>
      </c>
      <c r="B30" s="56" t="s">
        <v>76</v>
      </c>
      <c r="C30" s="63" t="s">
        <v>1222</v>
      </c>
      <c r="D30" s="43" t="s">
        <v>1159</v>
      </c>
      <c r="E30" s="43" t="s">
        <v>378</v>
      </c>
      <c r="F30" s="60" t="s">
        <v>1223</v>
      </c>
      <c r="G30" s="43" t="s">
        <v>1160</v>
      </c>
      <c r="H30" s="43" t="s">
        <v>23</v>
      </c>
      <c r="I30" s="57">
        <v>46023</v>
      </c>
      <c r="J30" s="57"/>
      <c r="K30" s="61" t="s">
        <v>23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ht="28.5" customHeight="1" x14ac:dyDescent="0.25">
      <c r="A31" s="66">
        <v>25</v>
      </c>
      <c r="B31" s="56" t="s">
        <v>76</v>
      </c>
      <c r="C31" s="63" t="s">
        <v>1224</v>
      </c>
      <c r="D31" s="43" t="s">
        <v>1159</v>
      </c>
      <c r="E31" s="43" t="s">
        <v>378</v>
      </c>
      <c r="F31" s="60" t="s">
        <v>1225</v>
      </c>
      <c r="G31" s="43" t="s">
        <v>1160</v>
      </c>
      <c r="H31" s="43" t="s">
        <v>23</v>
      </c>
      <c r="I31" s="57">
        <v>46023</v>
      </c>
      <c r="J31" s="57"/>
      <c r="K31" s="61" t="s">
        <v>23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ht="28.5" customHeight="1" x14ac:dyDescent="0.25">
      <c r="A32" s="66">
        <v>26</v>
      </c>
      <c r="B32" s="56" t="s">
        <v>76</v>
      </c>
      <c r="C32" s="63" t="s">
        <v>1226</v>
      </c>
      <c r="D32" s="43" t="s">
        <v>1159</v>
      </c>
      <c r="E32" s="43" t="s">
        <v>378</v>
      </c>
      <c r="F32" s="60" t="s">
        <v>1227</v>
      </c>
      <c r="G32" s="43" t="s">
        <v>1160</v>
      </c>
      <c r="H32" s="43" t="s">
        <v>23</v>
      </c>
      <c r="I32" s="57">
        <v>46023</v>
      </c>
      <c r="J32" s="57"/>
      <c r="K32" s="61" t="s">
        <v>23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28.5" customHeight="1" x14ac:dyDescent="0.25">
      <c r="A33" s="66">
        <v>27</v>
      </c>
      <c r="B33" s="56" t="s">
        <v>76</v>
      </c>
      <c r="C33" s="63" t="s">
        <v>1228</v>
      </c>
      <c r="D33" s="43" t="s">
        <v>1159</v>
      </c>
      <c r="E33" s="43" t="s">
        <v>378</v>
      </c>
      <c r="F33" s="60" t="s">
        <v>1229</v>
      </c>
      <c r="G33" s="43" t="s">
        <v>1160</v>
      </c>
      <c r="H33" s="43" t="s">
        <v>23</v>
      </c>
      <c r="I33" s="57">
        <v>46023</v>
      </c>
      <c r="J33" s="57"/>
      <c r="K33" s="61" t="s">
        <v>23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28.5" customHeight="1" x14ac:dyDescent="0.25">
      <c r="A34" s="66">
        <v>28</v>
      </c>
      <c r="B34" s="56" t="s">
        <v>76</v>
      </c>
      <c r="C34" s="63" t="s">
        <v>1230</v>
      </c>
      <c r="D34" s="43" t="s">
        <v>1159</v>
      </c>
      <c r="E34" s="43" t="s">
        <v>378</v>
      </c>
      <c r="F34" s="60" t="s">
        <v>1231</v>
      </c>
      <c r="G34" s="43" t="s">
        <v>1160</v>
      </c>
      <c r="H34" s="43" t="s">
        <v>23</v>
      </c>
      <c r="I34" s="57">
        <v>46023</v>
      </c>
      <c r="J34" s="57"/>
      <c r="K34" s="61" t="s">
        <v>23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ht="28.5" customHeight="1" x14ac:dyDescent="0.25">
      <c r="A35" s="66">
        <v>29</v>
      </c>
      <c r="B35" s="56" t="s">
        <v>76</v>
      </c>
      <c r="C35" s="63" t="s">
        <v>1232</v>
      </c>
      <c r="D35" s="43" t="s">
        <v>1159</v>
      </c>
      <c r="E35" s="43" t="s">
        <v>378</v>
      </c>
      <c r="F35" s="60" t="s">
        <v>1233</v>
      </c>
      <c r="G35" s="43" t="s">
        <v>1160</v>
      </c>
      <c r="H35" s="43" t="s">
        <v>23</v>
      </c>
      <c r="I35" s="57">
        <v>46023</v>
      </c>
      <c r="J35" s="57"/>
      <c r="K35" s="61" t="s">
        <v>23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30" customHeight="1" x14ac:dyDescent="0.25">
      <c r="A36" s="66">
        <v>30</v>
      </c>
      <c r="B36" s="56" t="s">
        <v>76</v>
      </c>
      <c r="C36" s="63" t="s">
        <v>1234</v>
      </c>
      <c r="D36" s="43" t="s">
        <v>1159</v>
      </c>
      <c r="E36" s="43" t="s">
        <v>378</v>
      </c>
      <c r="F36" s="60" t="s">
        <v>1235</v>
      </c>
      <c r="G36" s="43" t="s">
        <v>1160</v>
      </c>
      <c r="H36" s="43" t="s">
        <v>23</v>
      </c>
      <c r="I36" s="57">
        <v>46023</v>
      </c>
      <c r="J36" s="57"/>
      <c r="K36" s="61" t="s">
        <v>23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ht="30" customHeight="1" x14ac:dyDescent="0.25">
      <c r="A37" s="66">
        <v>31</v>
      </c>
      <c r="B37" s="56" t="s">
        <v>76</v>
      </c>
      <c r="C37" s="63" t="s">
        <v>1236</v>
      </c>
      <c r="D37" s="43" t="s">
        <v>1211</v>
      </c>
      <c r="E37" s="43" t="s">
        <v>378</v>
      </c>
      <c r="F37" s="60" t="s">
        <v>1212</v>
      </c>
      <c r="G37" s="43" t="s">
        <v>1213</v>
      </c>
      <c r="H37" s="43" t="s">
        <v>23</v>
      </c>
      <c r="I37" s="57">
        <v>44501</v>
      </c>
      <c r="J37" s="57"/>
      <c r="K37" s="61" t="s">
        <v>23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30" customHeight="1" x14ac:dyDescent="0.25">
      <c r="A38" s="66">
        <v>32</v>
      </c>
      <c r="B38" s="56" t="s">
        <v>76</v>
      </c>
      <c r="C38" s="63" t="s">
        <v>1237</v>
      </c>
      <c r="D38" s="43" t="s">
        <v>1211</v>
      </c>
      <c r="E38" s="43" t="s">
        <v>378</v>
      </c>
      <c r="F38" s="60" t="s">
        <v>1212</v>
      </c>
      <c r="G38" s="43" t="s">
        <v>1243</v>
      </c>
      <c r="H38" s="43" t="s">
        <v>23</v>
      </c>
      <c r="I38" s="57">
        <v>44501</v>
      </c>
      <c r="J38" s="57"/>
      <c r="K38" s="61" t="s">
        <v>23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ht="40.15" customHeight="1" x14ac:dyDescent="0.25">
      <c r="A39" s="66">
        <v>33</v>
      </c>
      <c r="B39" s="56" t="s">
        <v>76</v>
      </c>
      <c r="C39" s="63" t="s">
        <v>1238</v>
      </c>
      <c r="D39" s="43" t="s">
        <v>1211</v>
      </c>
      <c r="E39" s="43" t="s">
        <v>378</v>
      </c>
      <c r="F39" s="60" t="s">
        <v>1212</v>
      </c>
      <c r="G39" s="43" t="s">
        <v>1244</v>
      </c>
      <c r="H39" s="43" t="s">
        <v>23</v>
      </c>
      <c r="I39" s="57">
        <v>44501</v>
      </c>
      <c r="J39" s="57"/>
      <c r="K39" s="61" t="s">
        <v>23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30" customHeight="1" x14ac:dyDescent="0.25">
      <c r="A40" s="66">
        <v>34</v>
      </c>
      <c r="B40" s="56" t="s">
        <v>76</v>
      </c>
      <c r="C40" s="63" t="s">
        <v>1239</v>
      </c>
      <c r="D40" s="43" t="s">
        <v>1211</v>
      </c>
      <c r="E40" s="43" t="s">
        <v>378</v>
      </c>
      <c r="F40" s="60" t="s">
        <v>1212</v>
      </c>
      <c r="G40" s="43" t="s">
        <v>1245</v>
      </c>
      <c r="H40" s="43" t="s">
        <v>23</v>
      </c>
      <c r="I40" s="57">
        <v>44501</v>
      </c>
      <c r="J40" s="57"/>
      <c r="K40" s="61" t="s">
        <v>23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ht="30" customHeight="1" x14ac:dyDescent="0.25">
      <c r="A41" s="66">
        <v>35</v>
      </c>
      <c r="B41" s="56" t="s">
        <v>76</v>
      </c>
      <c r="C41" s="63" t="s">
        <v>1240</v>
      </c>
      <c r="D41" s="43" t="s">
        <v>1211</v>
      </c>
      <c r="E41" s="43" t="s">
        <v>378</v>
      </c>
      <c r="F41" s="60" t="s">
        <v>1212</v>
      </c>
      <c r="G41" s="43" t="s">
        <v>1246</v>
      </c>
      <c r="H41" s="43" t="s">
        <v>23</v>
      </c>
      <c r="I41" s="57">
        <v>44501</v>
      </c>
      <c r="J41" s="57"/>
      <c r="K41" s="61" t="s">
        <v>23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ht="30" customHeight="1" x14ac:dyDescent="0.25">
      <c r="A42" s="66">
        <v>36</v>
      </c>
      <c r="B42" s="56" t="s">
        <v>76</v>
      </c>
      <c r="C42" s="63" t="s">
        <v>1241</v>
      </c>
      <c r="D42" s="43" t="s">
        <v>1211</v>
      </c>
      <c r="E42" s="43" t="s">
        <v>378</v>
      </c>
      <c r="F42" s="60" t="s">
        <v>1212</v>
      </c>
      <c r="G42" s="43" t="s">
        <v>1247</v>
      </c>
      <c r="H42" s="43" t="s">
        <v>23</v>
      </c>
      <c r="I42" s="57">
        <v>44501</v>
      </c>
      <c r="J42" s="57"/>
      <c r="K42" s="61" t="s">
        <v>23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ht="30" customHeight="1" x14ac:dyDescent="0.25">
      <c r="A43" s="66">
        <v>37</v>
      </c>
      <c r="B43" s="56" t="s">
        <v>76</v>
      </c>
      <c r="C43" s="63" t="s">
        <v>1242</v>
      </c>
      <c r="D43" s="43" t="s">
        <v>1211</v>
      </c>
      <c r="E43" s="43" t="s">
        <v>378</v>
      </c>
      <c r="F43" s="60" t="s">
        <v>1212</v>
      </c>
      <c r="G43" s="43" t="s">
        <v>1248</v>
      </c>
      <c r="H43" s="43" t="s">
        <v>23</v>
      </c>
      <c r="I43" s="57">
        <v>44501</v>
      </c>
      <c r="J43" s="57"/>
      <c r="K43" s="61" t="s">
        <v>23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ht="30" customHeight="1" x14ac:dyDescent="0.25">
      <c r="A44" s="66">
        <v>38</v>
      </c>
      <c r="B44" s="56" t="s">
        <v>76</v>
      </c>
      <c r="C44" s="63" t="s">
        <v>1252</v>
      </c>
      <c r="D44" s="43" t="s">
        <v>1211</v>
      </c>
      <c r="E44" s="43" t="s">
        <v>378</v>
      </c>
      <c r="F44" s="60" t="s">
        <v>1212</v>
      </c>
      <c r="G44" s="43" t="s">
        <v>1249</v>
      </c>
      <c r="H44" s="43" t="s">
        <v>23</v>
      </c>
      <c r="I44" s="57">
        <v>44501</v>
      </c>
      <c r="J44" s="57"/>
      <c r="K44" s="61" t="s">
        <v>23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30" customHeight="1" x14ac:dyDescent="0.25">
      <c r="A45" s="66">
        <v>39</v>
      </c>
      <c r="B45" s="56" t="s">
        <v>76</v>
      </c>
      <c r="C45" s="63" t="s">
        <v>1253</v>
      </c>
      <c r="D45" s="43" t="s">
        <v>1211</v>
      </c>
      <c r="E45" s="43" t="s">
        <v>378</v>
      </c>
      <c r="F45" s="60" t="s">
        <v>1212</v>
      </c>
      <c r="G45" s="43" t="s">
        <v>1250</v>
      </c>
      <c r="H45" s="43" t="s">
        <v>23</v>
      </c>
      <c r="I45" s="57">
        <v>44501</v>
      </c>
      <c r="J45" s="57"/>
      <c r="K45" s="61" t="s">
        <v>23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ht="30" customHeight="1" x14ac:dyDescent="0.25">
      <c r="A46" s="66">
        <v>40</v>
      </c>
      <c r="B46" s="56" t="s">
        <v>76</v>
      </c>
      <c r="C46" s="63" t="s">
        <v>1254</v>
      </c>
      <c r="D46" s="43" t="s">
        <v>1211</v>
      </c>
      <c r="E46" s="43" t="s">
        <v>378</v>
      </c>
      <c r="F46" s="60" t="s">
        <v>1212</v>
      </c>
      <c r="G46" s="43" t="s">
        <v>1251</v>
      </c>
      <c r="H46" s="43" t="s">
        <v>23</v>
      </c>
      <c r="I46" s="57">
        <v>44501</v>
      </c>
      <c r="J46" s="57"/>
      <c r="K46" s="61" t="s">
        <v>23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ht="42.75" customHeight="1" x14ac:dyDescent="0.25">
      <c r="A47" s="66">
        <v>41</v>
      </c>
      <c r="B47" s="56" t="s">
        <v>76</v>
      </c>
      <c r="C47" s="43" t="s">
        <v>1339</v>
      </c>
      <c r="D47" s="43" t="s">
        <v>321</v>
      </c>
      <c r="E47" s="63">
        <v>19092000250</v>
      </c>
      <c r="F47" s="68" t="s">
        <v>322</v>
      </c>
      <c r="G47" s="63" t="s">
        <v>318</v>
      </c>
      <c r="H47" s="63" t="s">
        <v>23</v>
      </c>
      <c r="I47" s="106">
        <v>45962</v>
      </c>
      <c r="J47" s="106"/>
      <c r="K47" s="61" t="s">
        <v>23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ht="39.75" customHeight="1" x14ac:dyDescent="0.25">
      <c r="A48" s="66">
        <v>42</v>
      </c>
      <c r="B48" s="56" t="s">
        <v>76</v>
      </c>
      <c r="C48" s="43" t="s">
        <v>1340</v>
      </c>
      <c r="D48" s="43" t="s">
        <v>321</v>
      </c>
      <c r="E48" s="63">
        <v>19092000250</v>
      </c>
      <c r="F48" s="68" t="s">
        <v>322</v>
      </c>
      <c r="G48" s="63" t="s">
        <v>318</v>
      </c>
      <c r="H48" s="63" t="s">
        <v>23</v>
      </c>
      <c r="I48" s="106">
        <v>45962</v>
      </c>
      <c r="J48" s="106"/>
      <c r="K48" s="61" t="s">
        <v>23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1:21" ht="30" customHeight="1" x14ac:dyDescent="0.25">
      <c r="A49" s="66">
        <v>43</v>
      </c>
      <c r="B49" s="56" t="s">
        <v>76</v>
      </c>
      <c r="C49" s="43" t="s">
        <v>1341</v>
      </c>
      <c r="D49" s="43" t="s">
        <v>321</v>
      </c>
      <c r="E49" s="63">
        <v>19092000250</v>
      </c>
      <c r="F49" s="68" t="s">
        <v>322</v>
      </c>
      <c r="G49" s="63" t="s">
        <v>318</v>
      </c>
      <c r="H49" s="63" t="s">
        <v>23</v>
      </c>
      <c r="I49" s="106">
        <v>45962</v>
      </c>
      <c r="J49" s="106"/>
      <c r="K49" s="61" t="s">
        <v>23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32.25" customHeight="1" x14ac:dyDescent="0.25">
      <c r="A50" s="66">
        <v>44</v>
      </c>
      <c r="B50" s="56" t="s">
        <v>76</v>
      </c>
      <c r="C50" s="43" t="s">
        <v>1342</v>
      </c>
      <c r="D50" s="43" t="s">
        <v>321</v>
      </c>
      <c r="E50" s="63">
        <v>19092000250</v>
      </c>
      <c r="F50" s="68" t="s">
        <v>322</v>
      </c>
      <c r="G50" s="63" t="s">
        <v>318</v>
      </c>
      <c r="H50" s="63" t="s">
        <v>23</v>
      </c>
      <c r="I50" s="106">
        <v>45962</v>
      </c>
      <c r="J50" s="106"/>
      <c r="K50" s="61" t="s">
        <v>23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ht="32.25" customHeight="1" x14ac:dyDescent="0.25">
      <c r="A51" s="66">
        <v>45</v>
      </c>
      <c r="B51" s="56" t="s">
        <v>76</v>
      </c>
      <c r="C51" s="43" t="s">
        <v>1343</v>
      </c>
      <c r="D51" s="43" t="s">
        <v>321</v>
      </c>
      <c r="E51" s="63">
        <v>19092000250</v>
      </c>
      <c r="F51" s="68" t="s">
        <v>322</v>
      </c>
      <c r="G51" s="63" t="s">
        <v>318</v>
      </c>
      <c r="H51" s="63" t="s">
        <v>23</v>
      </c>
      <c r="I51" s="106">
        <v>45962</v>
      </c>
      <c r="J51" s="106"/>
      <c r="K51" s="61" t="s">
        <v>23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ht="32.25" customHeight="1" x14ac:dyDescent="0.25">
      <c r="A52" s="66">
        <v>46</v>
      </c>
      <c r="B52" s="56" t="s">
        <v>76</v>
      </c>
      <c r="C52" s="43" t="s">
        <v>1344</v>
      </c>
      <c r="D52" s="43" t="s">
        <v>321</v>
      </c>
      <c r="E52" s="63">
        <v>19092000250</v>
      </c>
      <c r="F52" s="68" t="s">
        <v>322</v>
      </c>
      <c r="G52" s="63" t="s">
        <v>318</v>
      </c>
      <c r="H52" s="63" t="s">
        <v>23</v>
      </c>
      <c r="I52" s="106">
        <v>45962</v>
      </c>
      <c r="J52" s="106"/>
      <c r="K52" s="61" t="s">
        <v>23</v>
      </c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ht="30" customHeight="1" x14ac:dyDescent="0.25">
      <c r="A53" s="66">
        <v>47</v>
      </c>
      <c r="B53" s="56" t="s">
        <v>76</v>
      </c>
      <c r="C53" s="43" t="s">
        <v>1345</v>
      </c>
      <c r="D53" s="43" t="s">
        <v>321</v>
      </c>
      <c r="E53" s="63">
        <v>19092000250</v>
      </c>
      <c r="F53" s="68" t="s">
        <v>322</v>
      </c>
      <c r="G53" s="63" t="s">
        <v>318</v>
      </c>
      <c r="H53" s="63" t="s">
        <v>23</v>
      </c>
      <c r="I53" s="106">
        <v>45962</v>
      </c>
      <c r="J53" s="106"/>
      <c r="K53" s="61" t="s">
        <v>23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1:21" ht="30" customHeight="1" x14ac:dyDescent="0.25">
      <c r="A54" s="66">
        <v>48</v>
      </c>
      <c r="B54" s="56" t="s">
        <v>76</v>
      </c>
      <c r="C54" s="43" t="s">
        <v>1346</v>
      </c>
      <c r="D54" s="43" t="s">
        <v>321</v>
      </c>
      <c r="E54" s="65">
        <v>19092000250</v>
      </c>
      <c r="F54" s="68" t="s">
        <v>322</v>
      </c>
      <c r="G54" s="63" t="s">
        <v>318</v>
      </c>
      <c r="H54" s="63" t="s">
        <v>23</v>
      </c>
      <c r="I54" s="106">
        <v>45962</v>
      </c>
      <c r="J54" s="106"/>
      <c r="K54" s="61" t="s">
        <v>23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ht="30" customHeight="1" x14ac:dyDescent="0.25">
      <c r="A55" s="66"/>
      <c r="B55" s="65"/>
      <c r="C55" s="65"/>
      <c r="D55" s="65"/>
      <c r="E55" s="65"/>
      <c r="F55" s="68"/>
      <c r="G55" s="63"/>
      <c r="H55" s="63"/>
      <c r="I55" s="106"/>
      <c r="J55" s="106"/>
      <c r="K55" s="107"/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ht="30" customHeight="1" x14ac:dyDescent="0.25">
      <c r="A56" s="66"/>
      <c r="B56" s="65"/>
      <c r="C56" s="65"/>
      <c r="D56" s="65"/>
      <c r="E56" s="63"/>
      <c r="F56" s="68"/>
      <c r="G56" s="63"/>
      <c r="H56" s="63"/>
      <c r="I56" s="106"/>
      <c r="J56" s="106"/>
      <c r="K56" s="107"/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ht="35.25" customHeight="1" x14ac:dyDescent="0.25">
      <c r="A57" s="66"/>
      <c r="B57" s="65"/>
      <c r="C57" s="65"/>
      <c r="D57" s="65"/>
      <c r="E57" s="65"/>
      <c r="F57" s="68"/>
      <c r="G57" s="63"/>
      <c r="H57" s="63"/>
      <c r="I57" s="106"/>
      <c r="J57" s="106"/>
      <c r="K57" s="107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1:21" ht="51" customHeight="1" x14ac:dyDescent="0.25">
      <c r="A58" s="66"/>
      <c r="B58" s="65"/>
      <c r="C58" s="65"/>
      <c r="D58" s="65"/>
      <c r="E58" s="63"/>
      <c r="F58" s="68"/>
      <c r="G58" s="63"/>
      <c r="H58" s="63"/>
      <c r="I58" s="106"/>
      <c r="J58" s="106"/>
      <c r="K58" s="108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1:21" ht="45" customHeight="1" x14ac:dyDescent="0.25">
      <c r="A59" s="66"/>
      <c r="B59" s="65"/>
      <c r="C59" s="65"/>
      <c r="D59" s="65"/>
      <c r="E59" s="63"/>
      <c r="F59" s="68"/>
      <c r="G59" s="63"/>
      <c r="H59" s="63"/>
      <c r="I59" s="106"/>
      <c r="J59" s="106"/>
      <c r="K59" s="108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1:21" ht="48.75" customHeight="1" x14ac:dyDescent="0.25">
      <c r="A60" s="66"/>
      <c r="B60" s="63"/>
      <c r="C60" s="65"/>
      <c r="D60" s="65"/>
      <c r="E60" s="63"/>
      <c r="F60" s="68"/>
      <c r="G60" s="63"/>
      <c r="H60" s="63"/>
      <c r="I60" s="106"/>
      <c r="J60" s="106"/>
      <c r="K60" s="108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ht="30.75" customHeight="1" x14ac:dyDescent="0.25">
      <c r="A61" s="66"/>
      <c r="B61" s="65"/>
      <c r="C61" s="65"/>
      <c r="D61" s="65"/>
      <c r="E61" s="63"/>
      <c r="F61" s="68"/>
      <c r="G61" s="63"/>
      <c r="H61" s="63"/>
      <c r="I61" s="106"/>
      <c r="J61" s="106"/>
      <c r="K61" s="108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1:21" ht="33" customHeight="1" x14ac:dyDescent="0.25">
      <c r="A62" s="66"/>
      <c r="B62" s="65"/>
      <c r="C62" s="65"/>
      <c r="D62" s="65"/>
      <c r="E62" s="63"/>
      <c r="F62" s="68"/>
      <c r="G62" s="63"/>
      <c r="H62" s="63"/>
      <c r="I62" s="106"/>
      <c r="J62" s="106"/>
      <c r="K62" s="108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ht="30" customHeight="1" x14ac:dyDescent="0.25">
      <c r="A63" s="66"/>
      <c r="B63" s="65"/>
      <c r="C63" s="65"/>
      <c r="D63" s="65"/>
      <c r="E63" s="63"/>
      <c r="F63" s="68"/>
      <c r="G63" s="63"/>
      <c r="H63" s="63"/>
      <c r="I63" s="106"/>
      <c r="J63" s="106"/>
      <c r="K63" s="108"/>
      <c r="L63" s="15"/>
      <c r="M63" s="15"/>
      <c r="N63" s="15"/>
      <c r="O63" s="15"/>
      <c r="P63" s="15"/>
      <c r="Q63" s="15"/>
      <c r="R63" s="15"/>
      <c r="S63" s="15"/>
      <c r="T63" s="15"/>
      <c r="U63" s="15"/>
    </row>
    <row r="64" spans="1:21" ht="30" customHeight="1" x14ac:dyDescent="0.25">
      <c r="A64" s="66"/>
      <c r="B64" s="63"/>
      <c r="C64" s="65"/>
      <c r="D64" s="65"/>
      <c r="E64" s="63"/>
      <c r="F64" s="68"/>
      <c r="G64" s="63"/>
      <c r="H64" s="63"/>
      <c r="I64" s="106"/>
      <c r="J64" s="106"/>
      <c r="K64" s="108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20.25" customHeight="1" x14ac:dyDescent="0.25">
      <c r="A65" s="66"/>
      <c r="B65" s="65"/>
      <c r="C65" s="65"/>
      <c r="D65" s="65"/>
      <c r="E65" s="63"/>
      <c r="F65" s="68"/>
      <c r="G65" s="63"/>
      <c r="H65" s="63"/>
      <c r="I65" s="106"/>
      <c r="J65" s="106"/>
      <c r="K65" s="108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9.5" customHeight="1" x14ac:dyDescent="0.25">
      <c r="A66" s="66"/>
      <c r="B66" s="65"/>
      <c r="C66" s="65"/>
      <c r="D66" s="65"/>
      <c r="E66" s="63"/>
      <c r="F66" s="68"/>
      <c r="G66" s="63"/>
      <c r="H66" s="63"/>
      <c r="I66" s="106"/>
      <c r="J66" s="106"/>
      <c r="K66" s="108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24" customHeight="1" x14ac:dyDescent="0.25">
      <c r="A67" s="66"/>
      <c r="B67" s="65"/>
      <c r="C67" s="65"/>
      <c r="D67" s="65"/>
      <c r="E67" s="63"/>
      <c r="F67" s="68"/>
      <c r="G67" s="63"/>
      <c r="H67" s="63"/>
      <c r="I67" s="106"/>
      <c r="J67" s="106"/>
      <c r="K67" s="108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9.5" customHeight="1" x14ac:dyDescent="0.25">
      <c r="A68" s="66"/>
      <c r="B68" s="65"/>
      <c r="C68" s="63"/>
      <c r="D68" s="65"/>
      <c r="E68" s="63"/>
      <c r="F68" s="68"/>
      <c r="G68" s="63"/>
      <c r="H68" s="63"/>
      <c r="I68" s="106"/>
      <c r="J68" s="106"/>
      <c r="K68" s="108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9.5" customHeight="1" x14ac:dyDescent="0.25">
      <c r="A69" s="66"/>
      <c r="B69" s="65"/>
      <c r="C69" s="63"/>
      <c r="D69" s="65"/>
      <c r="E69" s="63"/>
      <c r="F69" s="68"/>
      <c r="G69" s="63"/>
      <c r="H69" s="63"/>
      <c r="I69" s="106"/>
      <c r="J69" s="106"/>
      <c r="K69" s="108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9.5" customHeight="1" x14ac:dyDescent="0.25">
      <c r="A70" s="66"/>
      <c r="B70" s="65"/>
      <c r="C70" s="63"/>
      <c r="D70" s="65"/>
      <c r="E70" s="63"/>
      <c r="F70" s="68"/>
      <c r="G70" s="63"/>
      <c r="H70" s="63"/>
      <c r="I70" s="106"/>
      <c r="J70" s="106"/>
      <c r="K70" s="108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9.5" customHeight="1" x14ac:dyDescent="0.25">
      <c r="A71" s="66"/>
      <c r="B71" s="65"/>
      <c r="C71" s="63"/>
      <c r="D71" s="65"/>
      <c r="E71" s="63"/>
      <c r="F71" s="68"/>
      <c r="G71" s="63"/>
      <c r="H71" s="63"/>
      <c r="I71" s="106"/>
      <c r="J71" s="106"/>
      <c r="K71" s="108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9.5" customHeight="1" x14ac:dyDescent="0.25">
      <c r="A72" s="66"/>
      <c r="B72" s="65"/>
      <c r="C72" s="63"/>
      <c r="D72" s="65"/>
      <c r="E72" s="63"/>
      <c r="F72" s="68"/>
      <c r="G72" s="63"/>
      <c r="H72" s="63"/>
      <c r="I72" s="106"/>
      <c r="J72" s="106"/>
      <c r="K72" s="108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9.5" customHeight="1" x14ac:dyDescent="0.25">
      <c r="A73" s="66"/>
      <c r="B73" s="65"/>
      <c r="C73" s="63"/>
      <c r="D73" s="65"/>
      <c r="E73" s="63"/>
      <c r="F73" s="68"/>
      <c r="G73" s="63"/>
      <c r="H73" s="63"/>
      <c r="I73" s="106"/>
      <c r="J73" s="106"/>
      <c r="K73" s="108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9.5" customHeight="1" x14ac:dyDescent="0.25">
      <c r="A74" s="66"/>
      <c r="B74" s="65"/>
      <c r="C74" s="63"/>
      <c r="D74" s="65"/>
      <c r="E74" s="63"/>
      <c r="F74" s="68"/>
      <c r="G74" s="63"/>
      <c r="H74" s="63"/>
      <c r="I74" s="106"/>
      <c r="J74" s="106"/>
      <c r="K74" s="108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9.5" customHeight="1" x14ac:dyDescent="0.25">
      <c r="A75" s="66"/>
      <c r="B75" s="65"/>
      <c r="C75" s="63"/>
      <c r="D75" s="65"/>
      <c r="E75" s="63"/>
      <c r="F75" s="68"/>
      <c r="G75" s="63"/>
      <c r="H75" s="63"/>
      <c r="I75" s="106"/>
      <c r="J75" s="106"/>
      <c r="K75" s="108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9.5" customHeight="1" x14ac:dyDescent="0.25">
      <c r="A76" s="66"/>
      <c r="B76" s="65"/>
      <c r="C76" s="63"/>
      <c r="D76" s="65"/>
      <c r="E76" s="63"/>
      <c r="F76" s="68"/>
      <c r="G76" s="63"/>
      <c r="H76" s="63"/>
      <c r="I76" s="106"/>
      <c r="J76" s="106"/>
      <c r="K76" s="108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9.5" customHeight="1" x14ac:dyDescent="0.25">
      <c r="A77" s="66"/>
      <c r="B77" s="65"/>
      <c r="C77" s="63"/>
      <c r="D77" s="65"/>
      <c r="E77" s="63"/>
      <c r="F77" s="68"/>
      <c r="G77" s="63"/>
      <c r="H77" s="63"/>
      <c r="I77" s="106"/>
      <c r="J77" s="106"/>
      <c r="K77" s="108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66"/>
      <c r="B78" s="65"/>
      <c r="C78" s="63"/>
      <c r="D78" s="65"/>
      <c r="E78" s="63"/>
      <c r="F78" s="68"/>
      <c r="G78" s="63"/>
      <c r="H78" s="63"/>
      <c r="I78" s="106"/>
      <c r="J78" s="106"/>
      <c r="K78" s="108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66"/>
      <c r="B79" s="65"/>
      <c r="C79" s="63"/>
      <c r="D79" s="65"/>
      <c r="E79" s="63"/>
      <c r="F79" s="68"/>
      <c r="G79" s="63"/>
      <c r="H79" s="63"/>
      <c r="I79" s="106"/>
      <c r="J79" s="106"/>
      <c r="K79" s="108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66"/>
      <c r="B80" s="65"/>
      <c r="C80" s="63"/>
      <c r="D80" s="65"/>
      <c r="E80" s="63"/>
      <c r="F80" s="68"/>
      <c r="G80" s="63"/>
      <c r="H80" s="63"/>
      <c r="I80" s="106"/>
      <c r="J80" s="106"/>
      <c r="K80" s="108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66"/>
      <c r="B81" s="65"/>
      <c r="C81" s="63"/>
      <c r="D81" s="65"/>
      <c r="E81" s="63"/>
      <c r="F81" s="68"/>
      <c r="G81" s="63"/>
      <c r="H81" s="63"/>
      <c r="I81" s="106"/>
      <c r="J81" s="106"/>
      <c r="K81" s="108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66"/>
      <c r="B82" s="65"/>
      <c r="C82" s="63"/>
      <c r="D82" s="65"/>
      <c r="E82" s="63"/>
      <c r="F82" s="68"/>
      <c r="G82" s="63"/>
      <c r="H82" s="63"/>
      <c r="I82" s="106"/>
      <c r="J82" s="106"/>
      <c r="K82" s="108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66"/>
      <c r="B83" s="65"/>
      <c r="C83" s="63"/>
      <c r="D83" s="65"/>
      <c r="E83" s="63"/>
      <c r="F83" s="68"/>
      <c r="G83" s="63"/>
      <c r="H83" s="63"/>
      <c r="I83" s="106"/>
      <c r="J83" s="106"/>
      <c r="K83" s="108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66"/>
      <c r="B84" s="65"/>
      <c r="C84" s="63"/>
      <c r="D84" s="65"/>
      <c r="E84" s="63"/>
      <c r="F84" s="68"/>
      <c r="G84" s="63"/>
      <c r="H84" s="63"/>
      <c r="I84" s="106"/>
      <c r="J84" s="106"/>
      <c r="K84" s="108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66"/>
      <c r="B85" s="65"/>
      <c r="C85" s="63"/>
      <c r="D85" s="65"/>
      <c r="E85" s="63"/>
      <c r="F85" s="68"/>
      <c r="G85" s="63"/>
      <c r="H85" s="63"/>
      <c r="I85" s="106"/>
      <c r="J85" s="106"/>
      <c r="K85" s="108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66"/>
      <c r="B86" s="65"/>
      <c r="C86" s="63"/>
      <c r="D86" s="65"/>
      <c r="E86" s="63"/>
      <c r="F86" s="68"/>
      <c r="G86" s="63"/>
      <c r="H86" s="63"/>
      <c r="I86" s="106"/>
      <c r="J86" s="106"/>
      <c r="K86" s="108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66"/>
      <c r="B87" s="65"/>
      <c r="C87" s="63"/>
      <c r="D87" s="65"/>
      <c r="E87" s="63"/>
      <c r="F87" s="68"/>
      <c r="G87" s="63"/>
      <c r="H87" s="63"/>
      <c r="I87" s="106"/>
      <c r="J87" s="106"/>
      <c r="K87" s="108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66"/>
      <c r="B88" s="65"/>
      <c r="C88" s="63"/>
      <c r="D88" s="65"/>
      <c r="E88" s="63"/>
      <c r="F88" s="68"/>
      <c r="G88" s="63"/>
      <c r="H88" s="63"/>
      <c r="I88" s="106"/>
      <c r="J88" s="106"/>
      <c r="K88" s="108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66"/>
      <c r="B89" s="65"/>
      <c r="C89" s="63"/>
      <c r="D89" s="65"/>
      <c r="E89" s="63"/>
      <c r="F89" s="68"/>
      <c r="G89" s="63"/>
      <c r="H89" s="63"/>
      <c r="I89" s="106"/>
      <c r="J89" s="106"/>
      <c r="K89" s="108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66"/>
      <c r="B90" s="65"/>
      <c r="C90" s="63"/>
      <c r="D90" s="63"/>
      <c r="E90" s="63"/>
      <c r="F90" s="68"/>
      <c r="G90" s="63"/>
      <c r="H90" s="63"/>
      <c r="I90" s="106"/>
      <c r="J90" s="106"/>
      <c r="K90" s="108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66"/>
      <c r="B91" s="65"/>
      <c r="C91" s="63"/>
      <c r="D91" s="63"/>
      <c r="E91" s="63"/>
      <c r="F91" s="68"/>
      <c r="G91" s="63"/>
      <c r="H91" s="63"/>
      <c r="I91" s="106"/>
      <c r="J91" s="106"/>
      <c r="K91" s="108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66"/>
      <c r="B92" s="65"/>
      <c r="C92" s="63"/>
      <c r="D92" s="63"/>
      <c r="E92" s="63"/>
      <c r="F92" s="68"/>
      <c r="G92" s="63"/>
      <c r="H92" s="63"/>
      <c r="I92" s="106"/>
      <c r="J92" s="106"/>
      <c r="K92" s="108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66"/>
      <c r="B93" s="65"/>
      <c r="C93" s="63"/>
      <c r="D93" s="63"/>
      <c r="E93" s="63"/>
      <c r="F93" s="68"/>
      <c r="G93" s="63"/>
      <c r="H93" s="63"/>
      <c r="I93" s="106"/>
      <c r="J93" s="106"/>
      <c r="K93" s="108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66"/>
      <c r="B94" s="65"/>
      <c r="C94" s="63"/>
      <c r="D94" s="63"/>
      <c r="E94" s="63"/>
      <c r="F94" s="68"/>
      <c r="G94" s="63"/>
      <c r="H94" s="63"/>
      <c r="I94" s="106"/>
      <c r="J94" s="106"/>
      <c r="K94" s="108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66"/>
      <c r="B95" s="65"/>
      <c r="C95" s="63"/>
      <c r="D95" s="63"/>
      <c r="E95" s="63"/>
      <c r="F95" s="68"/>
      <c r="G95" s="63"/>
      <c r="H95" s="63"/>
      <c r="I95" s="106"/>
      <c r="J95" s="106"/>
      <c r="K95" s="108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66"/>
      <c r="B96" s="65"/>
      <c r="C96" s="63"/>
      <c r="D96" s="63"/>
      <c r="E96" s="63"/>
      <c r="F96" s="68"/>
      <c r="G96" s="63"/>
      <c r="H96" s="63"/>
      <c r="I96" s="106"/>
      <c r="J96" s="106"/>
      <c r="K96" s="108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66"/>
      <c r="B97" s="65"/>
      <c r="C97" s="63"/>
      <c r="D97" s="63"/>
      <c r="E97" s="63"/>
      <c r="F97" s="68"/>
      <c r="G97" s="63"/>
      <c r="H97" s="63"/>
      <c r="I97" s="106"/>
      <c r="J97" s="106"/>
      <c r="K97" s="108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66"/>
      <c r="B98" s="65"/>
      <c r="C98" s="63"/>
      <c r="D98" s="65"/>
      <c r="E98" s="63"/>
      <c r="F98" s="68"/>
      <c r="G98" s="63"/>
      <c r="H98" s="63"/>
      <c r="I98" s="106"/>
      <c r="J98" s="106"/>
      <c r="K98" s="108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66"/>
      <c r="B99" s="65"/>
      <c r="C99" s="63"/>
      <c r="D99" s="65"/>
      <c r="E99" s="63"/>
      <c r="F99" s="68"/>
      <c r="G99" s="63"/>
      <c r="H99" s="63"/>
      <c r="I99" s="106"/>
      <c r="J99" s="106"/>
      <c r="K99" s="108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66"/>
      <c r="B100" s="65"/>
      <c r="C100" s="63"/>
      <c r="D100" s="65"/>
      <c r="E100" s="63"/>
      <c r="F100" s="68"/>
      <c r="G100" s="63"/>
      <c r="H100" s="63"/>
      <c r="I100" s="106"/>
      <c r="J100" s="106"/>
      <c r="K100" s="108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66"/>
      <c r="B101" s="65"/>
      <c r="C101" s="63"/>
      <c r="D101" s="65"/>
      <c r="E101" s="63"/>
      <c r="F101" s="68"/>
      <c r="G101" s="63"/>
      <c r="H101" s="63"/>
      <c r="I101" s="106"/>
      <c r="J101" s="106"/>
      <c r="K101" s="108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66"/>
      <c r="B102" s="65"/>
      <c r="C102" s="63"/>
      <c r="D102" s="65"/>
      <c r="E102" s="63"/>
      <c r="F102" s="68"/>
      <c r="G102" s="63"/>
      <c r="H102" s="63"/>
      <c r="I102" s="106"/>
      <c r="J102" s="106"/>
      <c r="K102" s="108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66"/>
      <c r="B103" s="65"/>
      <c r="C103" s="63"/>
      <c r="D103" s="65"/>
      <c r="E103" s="63"/>
      <c r="F103" s="68"/>
      <c r="G103" s="63"/>
      <c r="H103" s="63"/>
      <c r="I103" s="106"/>
      <c r="J103" s="106"/>
      <c r="K103" s="108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66"/>
      <c r="B104" s="65"/>
      <c r="C104" s="63"/>
      <c r="D104" s="65"/>
      <c r="E104" s="63"/>
      <c r="F104" s="68"/>
      <c r="G104" s="63"/>
      <c r="H104" s="63"/>
      <c r="I104" s="106"/>
      <c r="J104" s="106"/>
      <c r="K104" s="108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66"/>
      <c r="B105" s="65"/>
      <c r="C105" s="63"/>
      <c r="D105" s="65"/>
      <c r="E105" s="63"/>
      <c r="F105" s="68"/>
      <c r="G105" s="63"/>
      <c r="H105" s="63"/>
      <c r="I105" s="106"/>
      <c r="J105" s="106"/>
      <c r="K105" s="108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66"/>
      <c r="B106" s="65"/>
      <c r="C106" s="63"/>
      <c r="D106" s="65"/>
      <c r="E106" s="63"/>
      <c r="F106" s="68"/>
      <c r="G106" s="63"/>
      <c r="H106" s="63"/>
      <c r="I106" s="106"/>
      <c r="J106" s="106"/>
      <c r="K106" s="108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66"/>
      <c r="B107" s="65"/>
      <c r="C107" s="63"/>
      <c r="D107" s="65"/>
      <c r="E107" s="63"/>
      <c r="F107" s="68"/>
      <c r="G107" s="63"/>
      <c r="H107" s="63"/>
      <c r="I107" s="106"/>
      <c r="J107" s="106"/>
      <c r="K107" s="108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66"/>
      <c r="B108" s="65"/>
      <c r="C108" s="63"/>
      <c r="D108" s="65"/>
      <c r="E108" s="63"/>
      <c r="F108" s="68"/>
      <c r="G108" s="63"/>
      <c r="H108" s="63"/>
      <c r="I108" s="106"/>
      <c r="J108" s="106"/>
      <c r="K108" s="108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66"/>
      <c r="B109" s="65"/>
      <c r="C109" s="63"/>
      <c r="D109" s="65"/>
      <c r="E109" s="63"/>
      <c r="F109" s="68"/>
      <c r="G109" s="63"/>
      <c r="H109" s="63"/>
      <c r="I109" s="106"/>
      <c r="J109" s="106"/>
      <c r="K109" s="108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66"/>
      <c r="B110" s="65"/>
      <c r="C110" s="63"/>
      <c r="D110" s="65"/>
      <c r="E110" s="63"/>
      <c r="F110" s="68"/>
      <c r="G110" s="63"/>
      <c r="H110" s="63"/>
      <c r="I110" s="106"/>
      <c r="J110" s="106"/>
      <c r="K110" s="108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66"/>
      <c r="B111" s="65"/>
      <c r="C111" s="63"/>
      <c r="D111" s="65"/>
      <c r="E111" s="63"/>
      <c r="F111" s="68"/>
      <c r="G111" s="63"/>
      <c r="H111" s="63"/>
      <c r="I111" s="106"/>
      <c r="J111" s="106"/>
      <c r="K111" s="108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2" customHeight="1" x14ac:dyDescent="0.25">
      <c r="A112" s="66"/>
      <c r="B112" s="65"/>
      <c r="C112" s="65"/>
      <c r="D112" s="65"/>
      <c r="E112" s="65"/>
      <c r="F112" s="68"/>
      <c r="G112" s="63"/>
      <c r="H112" s="63"/>
      <c r="I112" s="106"/>
      <c r="J112" s="106"/>
      <c r="K112" s="107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66"/>
      <c r="B113" s="65"/>
      <c r="C113" s="63"/>
      <c r="D113" s="65"/>
      <c r="E113" s="63"/>
      <c r="F113" s="68"/>
      <c r="G113" s="63"/>
      <c r="H113" s="63"/>
      <c r="I113" s="106"/>
      <c r="J113" s="106"/>
      <c r="K113" s="107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66"/>
      <c r="B114" s="65"/>
      <c r="C114" s="65"/>
      <c r="D114" s="65"/>
      <c r="E114" s="65"/>
      <c r="F114" s="68"/>
      <c r="G114" s="63"/>
      <c r="H114" s="63"/>
      <c r="I114" s="106"/>
      <c r="J114" s="106"/>
      <c r="K114" s="107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2.75" customHeight="1" x14ac:dyDescent="0.25">
      <c r="A115" s="66"/>
      <c r="B115" s="65"/>
      <c r="C115" s="63"/>
      <c r="D115" s="65"/>
      <c r="E115" s="63"/>
      <c r="F115" s="68"/>
      <c r="G115" s="63"/>
      <c r="H115" s="63"/>
      <c r="I115" s="106"/>
      <c r="J115" s="106"/>
      <c r="K115" s="107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2.75" customHeight="1" x14ac:dyDescent="0.25">
      <c r="A116" s="66"/>
      <c r="B116" s="65"/>
      <c r="C116" s="65"/>
      <c r="D116" s="65"/>
      <c r="E116" s="65"/>
      <c r="F116" s="68"/>
      <c r="G116" s="63"/>
      <c r="H116" s="63"/>
      <c r="I116" s="106"/>
      <c r="J116" s="106"/>
      <c r="K116" s="107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2.75" customHeight="1" x14ac:dyDescent="0.25">
      <c r="A117" s="66"/>
      <c r="B117" s="65"/>
      <c r="C117" s="63"/>
      <c r="D117" s="65"/>
      <c r="E117" s="63"/>
      <c r="F117" s="68"/>
      <c r="G117" s="63"/>
      <c r="H117" s="63"/>
      <c r="I117" s="106"/>
      <c r="J117" s="106"/>
      <c r="K117" s="107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2.75" customHeight="1" x14ac:dyDescent="0.25">
      <c r="A118" s="66"/>
      <c r="B118" s="65"/>
      <c r="C118" s="65"/>
      <c r="D118" s="65"/>
      <c r="E118" s="65"/>
      <c r="F118" s="68"/>
      <c r="G118" s="63"/>
      <c r="H118" s="63"/>
      <c r="I118" s="106"/>
      <c r="J118" s="106"/>
      <c r="K118" s="107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2.75" customHeight="1" x14ac:dyDescent="0.25">
      <c r="A119" s="66"/>
      <c r="B119" s="65"/>
      <c r="C119" s="63"/>
      <c r="D119" s="65"/>
      <c r="E119" s="63"/>
      <c r="F119" s="68"/>
      <c r="G119" s="63"/>
      <c r="H119" s="63"/>
      <c r="I119" s="106"/>
      <c r="J119" s="106"/>
      <c r="K119" s="107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2.75" customHeight="1" x14ac:dyDescent="0.25">
      <c r="A120" s="66"/>
      <c r="B120" s="65"/>
      <c r="C120" s="63"/>
      <c r="D120" s="65"/>
      <c r="E120" s="63"/>
      <c r="F120" s="68"/>
      <c r="G120" s="63"/>
      <c r="H120" s="63"/>
      <c r="I120" s="106"/>
      <c r="J120" s="106"/>
      <c r="K120" s="107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2.75" customHeight="1" x14ac:dyDescent="0.25">
      <c r="A121" s="66"/>
      <c r="B121" s="65"/>
      <c r="C121" s="63"/>
      <c r="D121" s="65"/>
      <c r="E121" s="63"/>
      <c r="F121" s="68"/>
      <c r="G121" s="63"/>
      <c r="H121" s="63"/>
      <c r="I121" s="106"/>
      <c r="J121" s="106"/>
      <c r="K121" s="107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2.75" customHeight="1" x14ac:dyDescent="0.25">
      <c r="A122" s="66"/>
      <c r="B122" s="65"/>
      <c r="C122" s="63"/>
      <c r="D122" s="65"/>
      <c r="E122" s="63"/>
      <c r="F122" s="68"/>
      <c r="G122" s="63"/>
      <c r="H122" s="63"/>
      <c r="I122" s="106"/>
      <c r="J122" s="106"/>
      <c r="K122" s="107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2.75" customHeight="1" x14ac:dyDescent="0.25">
      <c r="A123" s="66"/>
      <c r="B123" s="65"/>
      <c r="C123" s="63"/>
      <c r="D123" s="65"/>
      <c r="E123" s="63"/>
      <c r="F123" s="68"/>
      <c r="G123" s="63"/>
      <c r="H123" s="63"/>
      <c r="I123" s="106"/>
      <c r="J123" s="106"/>
      <c r="K123" s="107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37.9" customHeight="1" x14ac:dyDescent="0.25">
      <c r="A124" s="66"/>
      <c r="B124" s="65"/>
      <c r="C124" s="63"/>
      <c r="D124" s="65"/>
      <c r="E124" s="63"/>
      <c r="F124" s="68"/>
      <c r="G124" s="63"/>
      <c r="H124" s="63"/>
      <c r="I124" s="106"/>
      <c r="J124" s="106"/>
      <c r="K124" s="107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30.6" customHeight="1" x14ac:dyDescent="0.25">
      <c r="A125" s="66"/>
      <c r="B125" s="65"/>
      <c r="C125" s="63"/>
      <c r="D125" s="65"/>
      <c r="E125" s="63"/>
      <c r="F125" s="68"/>
      <c r="G125" s="63"/>
      <c r="H125" s="63"/>
      <c r="I125" s="106"/>
      <c r="J125" s="106"/>
      <c r="K125" s="107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2.75" customHeight="1" x14ac:dyDescent="0.25">
      <c r="A126" s="66"/>
      <c r="B126" s="65"/>
      <c r="C126" s="63"/>
      <c r="D126" s="65"/>
      <c r="E126" s="63"/>
      <c r="F126" s="68"/>
      <c r="G126" s="63"/>
      <c r="H126" s="63"/>
      <c r="I126" s="106"/>
      <c r="J126" s="106"/>
      <c r="K126" s="108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2.75" customHeight="1" x14ac:dyDescent="0.25">
      <c r="A127" s="66"/>
      <c r="B127" s="65"/>
      <c r="C127" s="63"/>
      <c r="D127" s="65"/>
      <c r="E127" s="63"/>
      <c r="F127" s="68"/>
      <c r="G127" s="63"/>
      <c r="H127" s="63"/>
      <c r="I127" s="106"/>
      <c r="J127" s="106"/>
      <c r="K127" s="108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2.75" customHeight="1" x14ac:dyDescent="0.25">
      <c r="A128" s="66"/>
      <c r="B128" s="65"/>
      <c r="C128" s="63"/>
      <c r="D128" s="65"/>
      <c r="E128" s="63"/>
      <c r="F128" s="68"/>
      <c r="G128" s="63"/>
      <c r="H128" s="63"/>
      <c r="I128" s="106"/>
      <c r="J128" s="106"/>
      <c r="K128" s="108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66"/>
      <c r="B129" s="65"/>
      <c r="C129" s="63"/>
      <c r="D129" s="65"/>
      <c r="E129" s="63"/>
      <c r="F129" s="68"/>
      <c r="G129" s="63"/>
      <c r="H129" s="63"/>
      <c r="I129" s="106"/>
      <c r="J129" s="106"/>
      <c r="K129" s="108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66"/>
      <c r="B130" s="65"/>
      <c r="C130" s="63"/>
      <c r="D130" s="65"/>
      <c r="E130" s="63"/>
      <c r="F130" s="68"/>
      <c r="G130" s="63"/>
      <c r="H130" s="63"/>
      <c r="I130" s="106"/>
      <c r="J130" s="106"/>
      <c r="K130" s="108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66"/>
      <c r="B131" s="65"/>
      <c r="C131" s="63"/>
      <c r="D131" s="65"/>
      <c r="E131" s="63"/>
      <c r="F131" s="68"/>
      <c r="G131" s="63"/>
      <c r="H131" s="63"/>
      <c r="I131" s="106"/>
      <c r="J131" s="106"/>
      <c r="K131" s="108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66"/>
      <c r="B132" s="65"/>
      <c r="C132" s="63"/>
      <c r="D132" s="65"/>
      <c r="E132" s="63"/>
      <c r="F132" s="68"/>
      <c r="G132" s="63"/>
      <c r="H132" s="63"/>
      <c r="I132" s="106"/>
      <c r="J132" s="106"/>
      <c r="K132" s="108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66"/>
      <c r="B133" s="65"/>
      <c r="C133" s="63"/>
      <c r="D133" s="65"/>
      <c r="E133" s="63"/>
      <c r="F133" s="68"/>
      <c r="G133" s="63"/>
      <c r="H133" s="63"/>
      <c r="I133" s="106"/>
      <c r="J133" s="106"/>
      <c r="K133" s="108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66"/>
      <c r="B134" s="65"/>
      <c r="C134" s="63"/>
      <c r="D134" s="65"/>
      <c r="E134" s="63"/>
      <c r="F134" s="68"/>
      <c r="G134" s="63"/>
      <c r="H134" s="63"/>
      <c r="I134" s="106"/>
      <c r="J134" s="106"/>
      <c r="K134" s="108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66"/>
      <c r="B135" s="65"/>
      <c r="C135" s="63"/>
      <c r="D135" s="65"/>
      <c r="E135" s="63"/>
      <c r="F135" s="68"/>
      <c r="G135" s="63"/>
      <c r="H135" s="63"/>
      <c r="I135" s="106"/>
      <c r="J135" s="106"/>
      <c r="K135" s="108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66"/>
      <c r="B136" s="65"/>
      <c r="C136" s="63"/>
      <c r="D136" s="65"/>
      <c r="E136" s="63"/>
      <c r="F136" s="68"/>
      <c r="G136" s="63"/>
      <c r="H136" s="63"/>
      <c r="I136" s="106"/>
      <c r="J136" s="106"/>
      <c r="K136" s="108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66"/>
      <c r="B137" s="65"/>
      <c r="C137" s="63"/>
      <c r="D137" s="65"/>
      <c r="E137" s="63"/>
      <c r="F137" s="68"/>
      <c r="G137" s="63"/>
      <c r="H137" s="63"/>
      <c r="I137" s="106"/>
      <c r="J137" s="106"/>
      <c r="K137" s="108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66"/>
      <c r="B138" s="65"/>
      <c r="C138" s="63"/>
      <c r="D138" s="65"/>
      <c r="E138" s="63"/>
      <c r="F138" s="68"/>
      <c r="G138" s="63"/>
      <c r="H138" s="63"/>
      <c r="I138" s="106"/>
      <c r="J138" s="106"/>
      <c r="K138" s="108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66"/>
      <c r="B139" s="65"/>
      <c r="C139" s="63"/>
      <c r="D139" s="65"/>
      <c r="E139" s="63"/>
      <c r="F139" s="68"/>
      <c r="G139" s="63"/>
      <c r="H139" s="63"/>
      <c r="I139" s="106"/>
      <c r="J139" s="106"/>
      <c r="K139" s="108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66"/>
      <c r="B140" s="65"/>
      <c r="C140" s="63"/>
      <c r="D140" s="65"/>
      <c r="E140" s="63"/>
      <c r="F140" s="68"/>
      <c r="G140" s="63"/>
      <c r="H140" s="63"/>
      <c r="I140" s="106"/>
      <c r="J140" s="106"/>
      <c r="K140" s="108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66"/>
      <c r="B141" s="65"/>
      <c r="C141" s="63"/>
      <c r="D141" s="65"/>
      <c r="E141" s="63"/>
      <c r="F141" s="68"/>
      <c r="G141" s="63"/>
      <c r="H141" s="63"/>
      <c r="I141" s="106"/>
      <c r="J141" s="106"/>
      <c r="K141" s="108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66"/>
      <c r="B142" s="65"/>
      <c r="C142" s="63"/>
      <c r="D142" s="65"/>
      <c r="E142" s="63"/>
      <c r="F142" s="68"/>
      <c r="G142" s="63"/>
      <c r="H142" s="63"/>
      <c r="I142" s="106"/>
      <c r="J142" s="106"/>
      <c r="K142" s="108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66"/>
      <c r="B143" s="65"/>
      <c r="C143" s="63"/>
      <c r="D143" s="65"/>
      <c r="E143" s="63"/>
      <c r="F143" s="68"/>
      <c r="G143" s="63"/>
      <c r="H143" s="63"/>
      <c r="I143" s="106"/>
      <c r="J143" s="106"/>
      <c r="K143" s="108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66"/>
      <c r="B144" s="65"/>
      <c r="C144" s="63"/>
      <c r="D144" s="65"/>
      <c r="E144" s="63"/>
      <c r="F144" s="68"/>
      <c r="G144" s="63"/>
      <c r="H144" s="63"/>
      <c r="I144" s="106"/>
      <c r="J144" s="106"/>
      <c r="K144" s="108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66"/>
      <c r="B145" s="65"/>
      <c r="C145" s="63"/>
      <c r="D145" s="65"/>
      <c r="E145" s="63"/>
      <c r="F145" s="68"/>
      <c r="G145" s="63"/>
      <c r="H145" s="63"/>
      <c r="I145" s="106"/>
      <c r="J145" s="106"/>
      <c r="K145" s="108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66"/>
      <c r="B146" s="65"/>
      <c r="C146" s="63"/>
      <c r="D146" s="65"/>
      <c r="E146" s="63"/>
      <c r="F146" s="68"/>
      <c r="G146" s="63"/>
      <c r="H146" s="63"/>
      <c r="I146" s="106"/>
      <c r="J146" s="106"/>
      <c r="K146" s="108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66"/>
      <c r="B147" s="65"/>
      <c r="C147" s="63"/>
      <c r="D147" s="65"/>
      <c r="E147" s="63"/>
      <c r="F147" s="68"/>
      <c r="G147" s="63"/>
      <c r="H147" s="63"/>
      <c r="I147" s="106"/>
      <c r="J147" s="106"/>
      <c r="K147" s="108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66"/>
      <c r="B148" s="65"/>
      <c r="C148" s="63"/>
      <c r="D148" s="65"/>
      <c r="E148" s="63"/>
      <c r="F148" s="68"/>
      <c r="G148" s="63"/>
      <c r="H148" s="63"/>
      <c r="I148" s="106"/>
      <c r="J148" s="106"/>
      <c r="K148" s="108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66"/>
      <c r="B149" s="65"/>
      <c r="C149" s="63"/>
      <c r="D149" s="65"/>
      <c r="E149" s="63"/>
      <c r="F149" s="68"/>
      <c r="G149" s="63"/>
      <c r="H149" s="63"/>
      <c r="I149" s="106"/>
      <c r="J149" s="106"/>
      <c r="K149" s="108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66"/>
      <c r="B150" s="65"/>
      <c r="C150" s="63"/>
      <c r="D150" s="65"/>
      <c r="E150" s="63"/>
      <c r="F150" s="68"/>
      <c r="G150" s="63"/>
      <c r="H150" s="63"/>
      <c r="I150" s="106"/>
      <c r="J150" s="106"/>
      <c r="K150" s="108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66"/>
      <c r="B151" s="65"/>
      <c r="C151" s="63"/>
      <c r="D151" s="65"/>
      <c r="E151" s="63"/>
      <c r="F151" s="68"/>
      <c r="G151" s="63"/>
      <c r="H151" s="63"/>
      <c r="I151" s="106"/>
      <c r="J151" s="106"/>
      <c r="K151" s="108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66"/>
      <c r="B152" s="65"/>
      <c r="C152" s="63"/>
      <c r="D152" s="65"/>
      <c r="E152" s="63"/>
      <c r="F152" s="68"/>
      <c r="G152" s="63"/>
      <c r="H152" s="63"/>
      <c r="I152" s="106"/>
      <c r="J152" s="106"/>
      <c r="K152" s="108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66"/>
      <c r="B153" s="65"/>
      <c r="C153" s="63"/>
      <c r="D153" s="65"/>
      <c r="E153" s="63"/>
      <c r="F153" s="68"/>
      <c r="G153" s="63"/>
      <c r="H153" s="63"/>
      <c r="I153" s="106"/>
      <c r="J153" s="106"/>
      <c r="K153" s="108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66"/>
      <c r="B154" s="65"/>
      <c r="C154" s="63"/>
      <c r="D154" s="65"/>
      <c r="E154" s="63"/>
      <c r="F154" s="68"/>
      <c r="G154" s="63"/>
      <c r="H154" s="63"/>
      <c r="I154" s="106"/>
      <c r="J154" s="106"/>
      <c r="K154" s="108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66"/>
      <c r="B155" s="65"/>
      <c r="C155" s="63"/>
      <c r="D155" s="65"/>
      <c r="E155" s="63"/>
      <c r="F155" s="68"/>
      <c r="G155" s="63"/>
      <c r="H155" s="63"/>
      <c r="I155" s="106"/>
      <c r="J155" s="106"/>
      <c r="K155" s="108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66"/>
      <c r="B156" s="65"/>
      <c r="C156" s="63"/>
      <c r="D156" s="65"/>
      <c r="E156" s="63"/>
      <c r="F156" s="68"/>
      <c r="G156" s="63"/>
      <c r="H156" s="63"/>
      <c r="I156" s="106"/>
      <c r="J156" s="106"/>
      <c r="K156" s="108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66"/>
      <c r="B157" s="65"/>
      <c r="C157" s="63"/>
      <c r="D157" s="65"/>
      <c r="E157" s="63"/>
      <c r="F157" s="68"/>
      <c r="G157" s="63"/>
      <c r="H157" s="63"/>
      <c r="I157" s="106"/>
      <c r="J157" s="106"/>
      <c r="K157" s="108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66"/>
      <c r="B158" s="65"/>
      <c r="C158" s="63"/>
      <c r="D158" s="65"/>
      <c r="E158" s="63"/>
      <c r="F158" s="68"/>
      <c r="G158" s="63"/>
      <c r="H158" s="63"/>
      <c r="I158" s="106"/>
      <c r="J158" s="106"/>
      <c r="K158" s="108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66"/>
      <c r="B159" s="65"/>
      <c r="C159" s="63"/>
      <c r="D159" s="65"/>
      <c r="E159" s="63"/>
      <c r="F159" s="68"/>
      <c r="G159" s="63"/>
      <c r="H159" s="63"/>
      <c r="I159" s="106"/>
      <c r="J159" s="106"/>
      <c r="K159" s="108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66"/>
      <c r="B160" s="65"/>
      <c r="C160" s="63"/>
      <c r="D160" s="65"/>
      <c r="E160" s="63"/>
      <c r="F160" s="68"/>
      <c r="G160" s="63"/>
      <c r="H160" s="63"/>
      <c r="I160" s="106"/>
      <c r="J160" s="106"/>
      <c r="K160" s="108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66"/>
      <c r="B161" s="65"/>
      <c r="C161" s="63"/>
      <c r="D161" s="65"/>
      <c r="E161" s="63"/>
      <c r="F161" s="68"/>
      <c r="G161" s="63"/>
      <c r="H161" s="63"/>
      <c r="I161" s="106"/>
      <c r="J161" s="106"/>
      <c r="K161" s="108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66"/>
      <c r="B162" s="65"/>
      <c r="C162" s="63"/>
      <c r="D162" s="65"/>
      <c r="E162" s="63"/>
      <c r="F162" s="68"/>
      <c r="G162" s="63"/>
      <c r="H162" s="63"/>
      <c r="I162" s="106"/>
      <c r="J162" s="106"/>
      <c r="K162" s="108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66"/>
      <c r="B163" s="65"/>
      <c r="C163" s="63"/>
      <c r="D163" s="65"/>
      <c r="E163" s="63"/>
      <c r="F163" s="68"/>
      <c r="G163" s="63"/>
      <c r="H163" s="63"/>
      <c r="I163" s="106"/>
      <c r="J163" s="106"/>
      <c r="K163" s="108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40.5" customHeight="1" x14ac:dyDescent="0.25">
      <c r="A164" s="66"/>
      <c r="B164" s="65"/>
      <c r="C164" s="63"/>
      <c r="D164" s="65"/>
      <c r="E164" s="63"/>
      <c r="F164" s="68"/>
      <c r="G164" s="63"/>
      <c r="H164" s="63"/>
      <c r="I164" s="106"/>
      <c r="J164" s="106"/>
      <c r="K164" s="108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40.5" customHeight="1" x14ac:dyDescent="0.25">
      <c r="A165" s="66"/>
      <c r="B165" s="65"/>
      <c r="C165" s="63"/>
      <c r="D165" s="65"/>
      <c r="E165" s="63"/>
      <c r="F165" s="68"/>
      <c r="G165" s="63"/>
      <c r="H165" s="63"/>
      <c r="I165" s="106"/>
      <c r="J165" s="106"/>
      <c r="K165" s="108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40.5" customHeight="1" x14ac:dyDescent="0.25">
      <c r="A166" s="66"/>
      <c r="B166" s="65"/>
      <c r="C166" s="63"/>
      <c r="D166" s="65"/>
      <c r="E166" s="63"/>
      <c r="F166" s="68"/>
      <c r="G166" s="63"/>
      <c r="H166" s="63"/>
      <c r="I166" s="106"/>
      <c r="J166" s="106"/>
      <c r="K166" s="108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40.5" customHeight="1" x14ac:dyDescent="0.25">
      <c r="A167" s="66"/>
      <c r="B167" s="65"/>
      <c r="C167" s="63"/>
      <c r="D167" s="65"/>
      <c r="E167" s="63"/>
      <c r="F167" s="68"/>
      <c r="G167" s="63"/>
      <c r="H167" s="63"/>
      <c r="I167" s="106"/>
      <c r="J167" s="106"/>
      <c r="K167" s="108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40.5" customHeight="1" x14ac:dyDescent="0.25">
      <c r="A168" s="66"/>
      <c r="B168" s="65"/>
      <c r="C168" s="63"/>
      <c r="D168" s="65"/>
      <c r="E168" s="63"/>
      <c r="F168" s="68"/>
      <c r="G168" s="63"/>
      <c r="H168" s="63"/>
      <c r="I168" s="106"/>
      <c r="J168" s="106"/>
      <c r="K168" s="108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25.5" customHeight="1" x14ac:dyDescent="0.25">
      <c r="A169" s="66"/>
      <c r="B169" s="65"/>
      <c r="C169" s="63"/>
      <c r="D169" s="65"/>
      <c r="E169" s="63"/>
      <c r="F169" s="68"/>
      <c r="G169" s="63"/>
      <c r="H169" s="63"/>
      <c r="I169" s="106"/>
      <c r="J169" s="106"/>
      <c r="K169" s="108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21.75" customHeight="1" x14ac:dyDescent="0.25">
      <c r="A170" s="66"/>
      <c r="B170" s="65"/>
      <c r="C170" s="63"/>
      <c r="D170" s="65"/>
      <c r="E170" s="63"/>
      <c r="F170" s="68"/>
      <c r="G170" s="63"/>
      <c r="H170" s="63"/>
      <c r="I170" s="106"/>
      <c r="J170" s="106"/>
      <c r="K170" s="108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2.75" customHeight="1" x14ac:dyDescent="0.25">
      <c r="A171" s="66"/>
      <c r="B171" s="65"/>
      <c r="C171" s="63"/>
      <c r="D171" s="65"/>
      <c r="E171" s="63"/>
      <c r="F171" s="68"/>
      <c r="G171" s="63"/>
      <c r="H171" s="63"/>
      <c r="I171" s="106"/>
      <c r="J171" s="106"/>
      <c r="K171" s="108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2.75" customHeight="1" x14ac:dyDescent="0.25">
      <c r="A172" s="66"/>
      <c r="B172" s="65"/>
      <c r="C172" s="63"/>
      <c r="D172" s="65"/>
      <c r="E172" s="63"/>
      <c r="F172" s="68"/>
      <c r="G172" s="63"/>
      <c r="H172" s="63"/>
      <c r="I172" s="106"/>
      <c r="J172" s="106"/>
      <c r="K172" s="108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2.75" customHeight="1" x14ac:dyDescent="0.25">
      <c r="A173" s="66"/>
      <c r="B173" s="65"/>
      <c r="C173" s="63"/>
      <c r="D173" s="65"/>
      <c r="E173" s="63"/>
      <c r="F173" s="68"/>
      <c r="G173" s="63"/>
      <c r="H173" s="63"/>
      <c r="I173" s="106"/>
      <c r="J173" s="106"/>
      <c r="K173" s="108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74.25" customHeight="1" x14ac:dyDescent="0.25">
      <c r="A174" s="66"/>
      <c r="B174" s="65"/>
      <c r="C174" s="63"/>
      <c r="D174" s="65"/>
      <c r="E174" s="63"/>
      <c r="F174" s="68"/>
      <c r="G174" s="63"/>
      <c r="H174" s="63"/>
      <c r="I174" s="106"/>
      <c r="J174" s="106"/>
      <c r="K174" s="108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87" customHeight="1" x14ac:dyDescent="0.25">
      <c r="A175" s="66"/>
      <c r="B175" s="65"/>
      <c r="C175" s="63"/>
      <c r="D175" s="65"/>
      <c r="E175" s="63"/>
      <c r="F175" s="68"/>
      <c r="G175" s="63"/>
      <c r="H175" s="63"/>
      <c r="I175" s="106"/>
      <c r="J175" s="106"/>
      <c r="K175" s="108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37.5" customHeight="1" x14ac:dyDescent="0.25">
      <c r="A176" s="66"/>
      <c r="B176" s="65"/>
      <c r="C176" s="63"/>
      <c r="D176" s="65"/>
      <c r="E176" s="63"/>
      <c r="F176" s="68"/>
      <c r="G176" s="63"/>
      <c r="H176" s="63"/>
      <c r="I176" s="106"/>
      <c r="J176" s="106"/>
      <c r="K176" s="108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29.25" customHeight="1" x14ac:dyDescent="0.25">
      <c r="A177" s="66"/>
      <c r="B177" s="65"/>
      <c r="C177" s="63"/>
      <c r="D177" s="65"/>
      <c r="E177" s="63"/>
      <c r="F177" s="68"/>
      <c r="G177" s="63"/>
      <c r="H177" s="63"/>
      <c r="I177" s="106"/>
      <c r="J177" s="106"/>
      <c r="K177" s="108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22.15" customHeight="1" x14ac:dyDescent="0.25">
      <c r="A178" s="66"/>
      <c r="B178" s="65"/>
      <c r="C178" s="63"/>
      <c r="D178" s="65"/>
      <c r="E178" s="63"/>
      <c r="F178" s="68"/>
      <c r="G178" s="63"/>
      <c r="H178" s="63"/>
      <c r="I178" s="106"/>
      <c r="J178" s="106"/>
      <c r="K178" s="108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30" customHeight="1" x14ac:dyDescent="0.25">
      <c r="A179" s="66"/>
      <c r="B179" s="65"/>
      <c r="C179" s="63"/>
      <c r="D179" s="65"/>
      <c r="E179" s="63"/>
      <c r="F179" s="68"/>
      <c r="G179" s="63"/>
      <c r="H179" s="63"/>
      <c r="I179" s="106"/>
      <c r="J179" s="106"/>
      <c r="K179" s="108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2.75" customHeight="1" x14ac:dyDescent="0.25">
      <c r="A180" s="66"/>
      <c r="B180" s="65"/>
      <c r="C180" s="63"/>
      <c r="D180" s="65"/>
      <c r="E180" s="63"/>
      <c r="F180" s="68"/>
      <c r="G180" s="63"/>
      <c r="H180" s="63"/>
      <c r="I180" s="106"/>
      <c r="J180" s="106"/>
      <c r="K180" s="108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66"/>
      <c r="B181" s="65"/>
      <c r="C181" s="63"/>
      <c r="D181" s="65"/>
      <c r="E181" s="63"/>
      <c r="F181" s="68"/>
      <c r="G181" s="63"/>
      <c r="H181" s="63"/>
      <c r="I181" s="106"/>
      <c r="J181" s="106"/>
      <c r="K181" s="108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66"/>
      <c r="B182" s="65"/>
      <c r="C182" s="63"/>
      <c r="D182" s="65"/>
      <c r="E182" s="63"/>
      <c r="F182" s="68"/>
      <c r="G182" s="63"/>
      <c r="H182" s="63"/>
      <c r="I182" s="106"/>
      <c r="J182" s="106"/>
      <c r="K182" s="108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66"/>
      <c r="B183" s="65"/>
      <c r="C183" s="63"/>
      <c r="D183" s="65"/>
      <c r="E183" s="63"/>
      <c r="F183" s="68"/>
      <c r="G183" s="63"/>
      <c r="H183" s="63"/>
      <c r="I183" s="106"/>
      <c r="J183" s="106"/>
      <c r="K183" s="108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25.15" customHeight="1" x14ac:dyDescent="0.25">
      <c r="A184" s="66"/>
      <c r="B184" s="65"/>
      <c r="C184" s="65"/>
      <c r="D184" s="65"/>
      <c r="E184" s="63"/>
      <c r="F184" s="109"/>
      <c r="G184" s="65"/>
      <c r="H184" s="65"/>
      <c r="I184" s="106"/>
      <c r="J184" s="106"/>
      <c r="K184" s="108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30" customHeight="1" x14ac:dyDescent="0.25">
      <c r="A185" s="66"/>
      <c r="B185" s="65"/>
      <c r="C185" s="65"/>
      <c r="D185" s="63"/>
      <c r="E185" s="63"/>
      <c r="F185" s="109"/>
      <c r="G185" s="65"/>
      <c r="H185" s="65"/>
      <c r="I185" s="106"/>
      <c r="J185" s="106"/>
      <c r="K185" s="108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66"/>
      <c r="B186" s="65"/>
      <c r="C186" s="65"/>
      <c r="D186" s="63"/>
      <c r="E186" s="63"/>
      <c r="F186" s="109"/>
      <c r="G186" s="110"/>
      <c r="H186" s="65"/>
      <c r="I186" s="106"/>
      <c r="J186" s="106"/>
      <c r="K186" s="108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66"/>
      <c r="B187" s="65"/>
      <c r="C187" s="65"/>
      <c r="D187" s="63"/>
      <c r="E187" s="63"/>
      <c r="F187" s="109"/>
      <c r="G187" s="65"/>
      <c r="H187" s="65"/>
      <c r="I187" s="106"/>
      <c r="J187" s="106"/>
      <c r="K187" s="108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66"/>
      <c r="B188" s="65"/>
      <c r="C188" s="65"/>
      <c r="D188" s="63"/>
      <c r="E188" s="63"/>
      <c r="F188" s="109"/>
      <c r="G188" s="65"/>
      <c r="H188" s="65"/>
      <c r="I188" s="106"/>
      <c r="J188" s="106"/>
      <c r="K188" s="108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2.75" customHeight="1" x14ac:dyDescent="0.25">
      <c r="A189" s="66"/>
      <c r="B189" s="65"/>
      <c r="C189" s="65"/>
      <c r="D189" s="63"/>
      <c r="E189" s="65"/>
      <c r="F189" s="109"/>
      <c r="G189" s="65"/>
      <c r="H189" s="65"/>
      <c r="I189" s="106"/>
      <c r="J189" s="106"/>
      <c r="K189" s="108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2.75" customHeight="1" x14ac:dyDescent="0.25">
      <c r="A190" s="66"/>
      <c r="B190" s="65"/>
      <c r="C190" s="65"/>
      <c r="D190" s="63"/>
      <c r="E190" s="63"/>
      <c r="F190" s="109"/>
      <c r="G190" s="65"/>
      <c r="H190" s="65"/>
      <c r="I190" s="106"/>
      <c r="J190" s="106"/>
      <c r="K190" s="108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2.75" customHeight="1" x14ac:dyDescent="0.25">
      <c r="A191" s="66"/>
      <c r="B191" s="65"/>
      <c r="C191" s="63"/>
      <c r="D191" s="65"/>
      <c r="E191" s="63"/>
      <c r="F191" s="68"/>
      <c r="G191" s="63"/>
      <c r="H191" s="63"/>
      <c r="I191" s="106"/>
      <c r="J191" s="106"/>
      <c r="K191" s="108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36.75" customHeight="1" x14ac:dyDescent="0.25">
      <c r="A192" s="66"/>
      <c r="B192" s="65"/>
      <c r="C192" s="63"/>
      <c r="D192" s="63"/>
      <c r="E192" s="63"/>
      <c r="F192" s="68"/>
      <c r="G192" s="63"/>
      <c r="H192" s="63"/>
      <c r="I192" s="106"/>
      <c r="J192" s="106"/>
      <c r="K192" s="108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36.75" customHeight="1" x14ac:dyDescent="0.25">
      <c r="A193" s="66"/>
      <c r="B193" s="65"/>
      <c r="C193" s="63"/>
      <c r="D193" s="63"/>
      <c r="E193" s="63"/>
      <c r="F193" s="68"/>
      <c r="G193" s="63"/>
      <c r="H193" s="63"/>
      <c r="I193" s="106"/>
      <c r="J193" s="106"/>
      <c r="K193" s="107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38.25" customHeight="1" x14ac:dyDescent="0.25">
      <c r="A194" s="66"/>
      <c r="B194" s="65"/>
      <c r="C194" s="63"/>
      <c r="D194" s="63"/>
      <c r="E194" s="63"/>
      <c r="F194" s="68"/>
      <c r="G194" s="63"/>
      <c r="H194" s="63"/>
      <c r="I194" s="106"/>
      <c r="J194" s="106"/>
      <c r="K194" s="107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38.25" customHeight="1" x14ac:dyDescent="0.25">
      <c r="A195" s="66"/>
      <c r="B195" s="65"/>
      <c r="C195" s="63"/>
      <c r="D195" s="63"/>
      <c r="E195" s="63"/>
      <c r="F195" s="68"/>
      <c r="G195" s="63"/>
      <c r="H195" s="63"/>
      <c r="I195" s="106"/>
      <c r="J195" s="106"/>
      <c r="K195" s="108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38.25" customHeight="1" x14ac:dyDescent="0.25">
      <c r="A196" s="66"/>
      <c r="B196" s="65"/>
      <c r="C196" s="63"/>
      <c r="D196" s="63"/>
      <c r="E196" s="63"/>
      <c r="F196" s="68"/>
      <c r="G196" s="63"/>
      <c r="H196" s="63"/>
      <c r="I196" s="106"/>
      <c r="J196" s="106"/>
      <c r="K196" s="108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38.25" customHeight="1" x14ac:dyDescent="0.25">
      <c r="A197" s="66"/>
      <c r="B197" s="65"/>
      <c r="C197" s="63"/>
      <c r="D197" s="63"/>
      <c r="E197" s="63"/>
      <c r="F197" s="68"/>
      <c r="G197" s="63"/>
      <c r="H197" s="63"/>
      <c r="I197" s="106"/>
      <c r="J197" s="106"/>
      <c r="K197" s="108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30" customHeight="1" x14ac:dyDescent="0.25">
      <c r="A198" s="66"/>
      <c r="B198" s="65"/>
      <c r="C198" s="63"/>
      <c r="D198" s="63"/>
      <c r="E198" s="63"/>
      <c r="F198" s="68"/>
      <c r="G198" s="63"/>
      <c r="H198" s="63"/>
      <c r="I198" s="106"/>
      <c r="J198" s="106"/>
      <c r="K198" s="108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30" customHeight="1" x14ac:dyDescent="0.25">
      <c r="A199" s="66"/>
      <c r="B199" s="65"/>
      <c r="C199" s="63"/>
      <c r="D199" s="63"/>
      <c r="E199" s="65"/>
      <c r="F199" s="68"/>
      <c r="G199" s="63"/>
      <c r="H199" s="63"/>
      <c r="I199" s="106"/>
      <c r="J199" s="106"/>
      <c r="K199" s="107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30" customHeight="1" x14ac:dyDescent="0.25">
      <c r="A200" s="66"/>
      <c r="B200" s="65"/>
      <c r="C200" s="63"/>
      <c r="D200" s="63"/>
      <c r="E200" s="63"/>
      <c r="F200" s="68"/>
      <c r="G200" s="63"/>
      <c r="H200" s="63"/>
      <c r="I200" s="106"/>
      <c r="J200" s="106"/>
      <c r="K200" s="108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37.5" customHeight="1" x14ac:dyDescent="0.25">
      <c r="A201" s="66"/>
      <c r="B201" s="65"/>
      <c r="C201" s="63"/>
      <c r="D201" s="63"/>
      <c r="E201" s="63"/>
      <c r="F201" s="68"/>
      <c r="G201" s="63"/>
      <c r="H201" s="63"/>
      <c r="I201" s="106"/>
      <c r="J201" s="106"/>
      <c r="K201" s="107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37.5" customHeight="1" x14ac:dyDescent="0.25">
      <c r="A202" s="66"/>
      <c r="B202" s="65"/>
      <c r="C202" s="63"/>
      <c r="D202" s="63"/>
      <c r="E202" s="63"/>
      <c r="F202" s="68"/>
      <c r="G202" s="63"/>
      <c r="H202" s="63"/>
      <c r="I202" s="106"/>
      <c r="J202" s="106"/>
      <c r="K202" s="107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44.25" customHeight="1" x14ac:dyDescent="0.25">
      <c r="A203" s="66"/>
      <c r="B203" s="65"/>
      <c r="C203" s="63"/>
      <c r="D203" s="63"/>
      <c r="E203" s="111"/>
      <c r="F203" s="68"/>
      <c r="G203" s="63"/>
      <c r="H203" s="63"/>
      <c r="I203" s="106"/>
      <c r="J203" s="106"/>
      <c r="K203" s="107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30" customHeight="1" x14ac:dyDescent="0.25">
      <c r="A204" s="66"/>
      <c r="B204" s="65"/>
      <c r="C204" s="63"/>
      <c r="D204" s="63"/>
      <c r="E204" s="63"/>
      <c r="F204" s="68"/>
      <c r="G204" s="63"/>
      <c r="H204" s="63"/>
      <c r="I204" s="106"/>
      <c r="J204" s="106"/>
      <c r="K204" s="108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30" customHeight="1" x14ac:dyDescent="0.25">
      <c r="A205" s="66"/>
      <c r="B205" s="65"/>
      <c r="C205" s="63"/>
      <c r="D205" s="63"/>
      <c r="E205" s="63"/>
      <c r="F205" s="68"/>
      <c r="G205" s="63"/>
      <c r="H205" s="63"/>
      <c r="I205" s="106"/>
      <c r="J205" s="106"/>
      <c r="K205" s="108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39.75" customHeight="1" x14ac:dyDescent="0.25">
      <c r="A206" s="66"/>
      <c r="B206" s="65"/>
      <c r="C206" s="63"/>
      <c r="D206" s="63"/>
      <c r="E206" s="63"/>
      <c r="F206" s="68"/>
      <c r="G206" s="63"/>
      <c r="H206" s="63"/>
      <c r="I206" s="106"/>
      <c r="J206" s="106"/>
      <c r="K206" s="108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35.25" customHeight="1" x14ac:dyDescent="0.25">
      <c r="A207" s="66"/>
      <c r="B207" s="65"/>
      <c r="C207" s="63"/>
      <c r="D207" s="63"/>
      <c r="E207" s="63"/>
      <c r="F207" s="68"/>
      <c r="G207" s="63"/>
      <c r="H207" s="63"/>
      <c r="I207" s="106"/>
      <c r="J207" s="106"/>
      <c r="K207" s="108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36.75" customHeight="1" x14ac:dyDescent="0.25">
      <c r="A208" s="66"/>
      <c r="B208" s="65"/>
      <c r="C208" s="63"/>
      <c r="D208" s="63"/>
      <c r="E208" s="63"/>
      <c r="F208" s="68"/>
      <c r="G208" s="63"/>
      <c r="H208" s="63"/>
      <c r="I208" s="106"/>
      <c r="J208" s="106"/>
      <c r="K208" s="108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39.75" customHeight="1" x14ac:dyDescent="0.25">
      <c r="A209" s="66"/>
      <c r="B209" s="65"/>
      <c r="C209" s="63"/>
      <c r="D209" s="63"/>
      <c r="E209" s="63"/>
      <c r="F209" s="63"/>
      <c r="G209" s="63"/>
      <c r="H209" s="63"/>
      <c r="I209" s="106"/>
      <c r="J209" s="106"/>
      <c r="K209" s="108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39.75" customHeight="1" x14ac:dyDescent="0.25">
      <c r="A210" s="66"/>
      <c r="B210" s="65"/>
      <c r="C210" s="63"/>
      <c r="D210" s="63"/>
      <c r="E210" s="63"/>
      <c r="F210" s="63"/>
      <c r="G210" s="63"/>
      <c r="H210" s="63"/>
      <c r="I210" s="106"/>
      <c r="J210" s="106"/>
      <c r="K210" s="108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30" customHeight="1" x14ac:dyDescent="0.25">
      <c r="A211" s="66"/>
      <c r="B211" s="65"/>
      <c r="C211" s="63"/>
      <c r="D211" s="63"/>
      <c r="E211" s="63"/>
      <c r="F211" s="68"/>
      <c r="G211" s="63"/>
      <c r="H211" s="63"/>
      <c r="I211" s="106"/>
      <c r="J211" s="106"/>
      <c r="K211" s="108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30" customHeight="1" x14ac:dyDescent="0.25">
      <c r="A212" s="66"/>
      <c r="B212" s="65"/>
      <c r="C212" s="63"/>
      <c r="D212" s="63"/>
      <c r="E212" s="63"/>
      <c r="F212" s="68"/>
      <c r="G212" s="63"/>
      <c r="H212" s="63"/>
      <c r="I212" s="106"/>
      <c r="J212" s="106"/>
      <c r="K212" s="107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37.5" customHeight="1" x14ac:dyDescent="0.25">
      <c r="A213" s="66"/>
      <c r="B213" s="65"/>
      <c r="C213" s="63"/>
      <c r="D213" s="63"/>
      <c r="E213" s="63"/>
      <c r="F213" s="68"/>
      <c r="G213" s="63"/>
      <c r="H213" s="63"/>
      <c r="I213" s="106"/>
      <c r="J213" s="106"/>
      <c r="K213" s="108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30" customHeight="1" x14ac:dyDescent="0.25">
      <c r="A214" s="66"/>
      <c r="B214" s="65"/>
      <c r="C214" s="63"/>
      <c r="D214" s="63"/>
      <c r="E214" s="63"/>
      <c r="F214" s="68"/>
      <c r="G214" s="63"/>
      <c r="H214" s="63"/>
      <c r="I214" s="106"/>
      <c r="J214" s="106"/>
      <c r="K214" s="108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30" customHeight="1" x14ac:dyDescent="0.25">
      <c r="A215" s="66"/>
      <c r="B215" s="65"/>
      <c r="C215" s="63"/>
      <c r="D215" s="63"/>
      <c r="E215" s="63"/>
      <c r="F215" s="68"/>
      <c r="G215" s="63"/>
      <c r="H215" s="63"/>
      <c r="I215" s="106"/>
      <c r="J215" s="106"/>
      <c r="K215" s="108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30" customHeight="1" x14ac:dyDescent="0.25">
      <c r="A216" s="66"/>
      <c r="B216" s="65"/>
      <c r="C216" s="63"/>
      <c r="D216" s="63"/>
      <c r="E216" s="63"/>
      <c r="F216" s="68"/>
      <c r="G216" s="63"/>
      <c r="H216" s="63"/>
      <c r="I216" s="106"/>
      <c r="J216" s="106"/>
      <c r="K216" s="108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30" customHeight="1" x14ac:dyDescent="0.25">
      <c r="A217" s="66"/>
      <c r="B217" s="65"/>
      <c r="C217" s="63"/>
      <c r="D217" s="63"/>
      <c r="E217" s="63"/>
      <c r="F217" s="68"/>
      <c r="G217" s="63"/>
      <c r="H217" s="63"/>
      <c r="I217" s="106"/>
      <c r="J217" s="106"/>
      <c r="K217" s="108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30" customHeight="1" x14ac:dyDescent="0.25">
      <c r="A218" s="66"/>
      <c r="B218" s="65"/>
      <c r="C218" s="63"/>
      <c r="D218" s="63"/>
      <c r="E218" s="63"/>
      <c r="F218" s="68"/>
      <c r="G218" s="63"/>
      <c r="H218" s="63"/>
      <c r="I218" s="106"/>
      <c r="J218" s="106"/>
      <c r="K218" s="108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30" customHeight="1" x14ac:dyDescent="0.25">
      <c r="A219" s="66"/>
      <c r="B219" s="65"/>
      <c r="C219" s="63"/>
      <c r="D219" s="63"/>
      <c r="E219" s="63"/>
      <c r="F219" s="68"/>
      <c r="G219" s="63"/>
      <c r="H219" s="63"/>
      <c r="I219" s="106"/>
      <c r="J219" s="106"/>
      <c r="K219" s="108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30" customHeight="1" x14ac:dyDescent="0.25">
      <c r="A220" s="66"/>
      <c r="B220" s="65"/>
      <c r="C220" s="63"/>
      <c r="D220" s="63"/>
      <c r="E220" s="63"/>
      <c r="F220" s="68"/>
      <c r="G220" s="63"/>
      <c r="H220" s="63"/>
      <c r="I220" s="106"/>
      <c r="J220" s="106"/>
      <c r="K220" s="108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30" customHeight="1" x14ac:dyDescent="0.25">
      <c r="A221" s="66"/>
      <c r="B221" s="65"/>
      <c r="C221" s="63"/>
      <c r="D221" s="63"/>
      <c r="E221" s="63"/>
      <c r="F221" s="68"/>
      <c r="G221" s="63"/>
      <c r="H221" s="63"/>
      <c r="I221" s="106"/>
      <c r="J221" s="106"/>
      <c r="K221" s="108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30" customHeight="1" x14ac:dyDescent="0.25">
      <c r="A222" s="66"/>
      <c r="B222" s="65"/>
      <c r="C222" s="63"/>
      <c r="D222" s="63"/>
      <c r="E222" s="63"/>
      <c r="F222" s="68"/>
      <c r="G222" s="63"/>
      <c r="H222" s="63"/>
      <c r="I222" s="106"/>
      <c r="J222" s="106"/>
      <c r="K222" s="108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30" customHeight="1" x14ac:dyDescent="0.25">
      <c r="A223" s="66"/>
      <c r="B223" s="65"/>
      <c r="C223" s="63"/>
      <c r="D223" s="63"/>
      <c r="E223" s="63"/>
      <c r="F223" s="68"/>
      <c r="G223" s="63"/>
      <c r="H223" s="63"/>
      <c r="I223" s="106"/>
      <c r="J223" s="106"/>
      <c r="K223" s="108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30" customHeight="1" x14ac:dyDescent="0.25">
      <c r="A224" s="66"/>
      <c r="B224" s="65"/>
      <c r="C224" s="63"/>
      <c r="D224" s="63"/>
      <c r="E224" s="63"/>
      <c r="F224" s="68"/>
      <c r="G224" s="63"/>
      <c r="H224" s="63"/>
      <c r="I224" s="106"/>
      <c r="J224" s="106"/>
      <c r="K224" s="108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45" customHeight="1" x14ac:dyDescent="0.25">
      <c r="A225" s="66"/>
      <c r="B225" s="65"/>
      <c r="C225" s="63"/>
      <c r="D225" s="63"/>
      <c r="E225" s="63"/>
      <c r="F225" s="68"/>
      <c r="G225" s="63"/>
      <c r="H225" s="63"/>
      <c r="I225" s="106"/>
      <c r="J225" s="106"/>
      <c r="K225" s="108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30" customHeight="1" x14ac:dyDescent="0.25">
      <c r="A226" s="66"/>
      <c r="B226" s="65"/>
      <c r="C226" s="63"/>
      <c r="D226" s="63"/>
      <c r="E226" s="63"/>
      <c r="F226" s="68"/>
      <c r="G226" s="63"/>
      <c r="H226" s="63"/>
      <c r="I226" s="106"/>
      <c r="J226" s="106"/>
      <c r="K226" s="108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30" customHeight="1" x14ac:dyDescent="0.25">
      <c r="A227" s="66"/>
      <c r="B227" s="65"/>
      <c r="C227" s="63"/>
      <c r="D227" s="63"/>
      <c r="E227" s="63"/>
      <c r="F227" s="68"/>
      <c r="G227" s="63"/>
      <c r="H227" s="63"/>
      <c r="I227" s="106"/>
      <c r="J227" s="106"/>
      <c r="K227" s="108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30" customHeight="1" x14ac:dyDescent="0.25">
      <c r="A228" s="66"/>
      <c r="B228" s="65"/>
      <c r="C228" s="63"/>
      <c r="D228" s="63"/>
      <c r="E228" s="63"/>
      <c r="F228" s="68"/>
      <c r="G228" s="63"/>
      <c r="H228" s="63"/>
      <c r="I228" s="106"/>
      <c r="J228" s="106"/>
      <c r="K228" s="108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36.75" customHeight="1" x14ac:dyDescent="0.25">
      <c r="A229" s="66"/>
      <c r="B229" s="65"/>
      <c r="C229" s="63"/>
      <c r="D229" s="63"/>
      <c r="E229" s="63"/>
      <c r="F229" s="68"/>
      <c r="G229" s="63"/>
      <c r="H229" s="63"/>
      <c r="I229" s="106"/>
      <c r="J229" s="106"/>
      <c r="K229" s="108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30" customHeight="1" x14ac:dyDescent="0.25">
      <c r="A230" s="66"/>
      <c r="B230" s="65"/>
      <c r="C230" s="63"/>
      <c r="D230" s="63"/>
      <c r="E230" s="63"/>
      <c r="F230" s="68"/>
      <c r="G230" s="63"/>
      <c r="H230" s="63"/>
      <c r="I230" s="106"/>
      <c r="J230" s="106"/>
      <c r="K230" s="108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30" customHeight="1" x14ac:dyDescent="0.25">
      <c r="A231" s="66"/>
      <c r="B231" s="65"/>
      <c r="C231" s="63"/>
      <c r="D231" s="63"/>
      <c r="E231" s="63"/>
      <c r="F231" s="68"/>
      <c r="G231" s="63"/>
      <c r="H231" s="63"/>
      <c r="I231" s="106"/>
      <c r="J231" s="106"/>
      <c r="K231" s="108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40.5" customHeight="1" x14ac:dyDescent="0.25">
      <c r="A232" s="66"/>
      <c r="B232" s="65"/>
      <c r="C232" s="93"/>
      <c r="D232" s="63"/>
      <c r="E232" s="63"/>
      <c r="F232" s="63"/>
      <c r="G232" s="63"/>
      <c r="H232" s="63"/>
      <c r="I232" s="106"/>
      <c r="J232" s="106"/>
      <c r="K232" s="108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30" customHeight="1" x14ac:dyDescent="0.25">
      <c r="A233" s="66"/>
      <c r="B233" s="65"/>
      <c r="C233" s="93"/>
      <c r="D233" s="63"/>
      <c r="E233" s="63"/>
      <c r="F233" s="63"/>
      <c r="G233" s="63"/>
      <c r="H233" s="63"/>
      <c r="I233" s="106"/>
      <c r="J233" s="106"/>
      <c r="K233" s="108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30" customHeight="1" x14ac:dyDescent="0.25">
      <c r="A234" s="66"/>
      <c r="B234" s="65"/>
      <c r="C234" s="63"/>
      <c r="D234" s="63"/>
      <c r="E234" s="63"/>
      <c r="F234" s="63"/>
      <c r="G234" s="112"/>
      <c r="H234" s="63"/>
      <c r="I234" s="106"/>
      <c r="J234" s="106"/>
      <c r="K234" s="108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36.75" customHeight="1" x14ac:dyDescent="0.25">
      <c r="A235" s="66"/>
      <c r="B235" s="65"/>
      <c r="C235" s="63"/>
      <c r="D235" s="63"/>
      <c r="E235" s="63"/>
      <c r="F235" s="68"/>
      <c r="G235" s="63"/>
      <c r="H235" s="63"/>
      <c r="I235" s="106"/>
      <c r="J235" s="106"/>
      <c r="K235" s="108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36.75" customHeight="1" x14ac:dyDescent="0.25">
      <c r="A236" s="66"/>
      <c r="B236" s="65"/>
      <c r="C236" s="63"/>
      <c r="D236" s="63"/>
      <c r="E236" s="63"/>
      <c r="F236" s="68"/>
      <c r="G236" s="63"/>
      <c r="H236" s="63"/>
      <c r="I236" s="106"/>
      <c r="J236" s="106"/>
      <c r="K236" s="108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36.75" customHeight="1" x14ac:dyDescent="0.25">
      <c r="A237" s="66"/>
      <c r="B237" s="65"/>
      <c r="C237" s="63"/>
      <c r="D237" s="63"/>
      <c r="E237" s="63"/>
      <c r="F237" s="68"/>
      <c r="G237" s="63"/>
      <c r="H237" s="63"/>
      <c r="I237" s="106"/>
      <c r="J237" s="106"/>
      <c r="K237" s="108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36.75" customHeight="1" x14ac:dyDescent="0.25">
      <c r="A238" s="66"/>
      <c r="B238" s="65"/>
      <c r="C238" s="63"/>
      <c r="D238" s="63"/>
      <c r="E238" s="63"/>
      <c r="F238" s="68"/>
      <c r="G238" s="63"/>
      <c r="H238" s="63"/>
      <c r="I238" s="106"/>
      <c r="J238" s="106"/>
      <c r="K238" s="108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36.75" customHeight="1" x14ac:dyDescent="0.25">
      <c r="A239" s="66"/>
      <c r="B239" s="65"/>
      <c r="C239" s="63"/>
      <c r="D239" s="63"/>
      <c r="E239" s="63"/>
      <c r="F239" s="68"/>
      <c r="G239" s="63"/>
      <c r="H239" s="63"/>
      <c r="I239" s="106"/>
      <c r="J239" s="106"/>
      <c r="K239" s="108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36.75" customHeight="1" x14ac:dyDescent="0.25">
      <c r="A240" s="66"/>
      <c r="B240" s="65"/>
      <c r="C240" s="63"/>
      <c r="D240" s="63"/>
      <c r="E240" s="63"/>
      <c r="F240" s="68"/>
      <c r="G240" s="63"/>
      <c r="H240" s="63"/>
      <c r="I240" s="106"/>
      <c r="J240" s="106"/>
      <c r="K240" s="108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36.75" customHeight="1" x14ac:dyDescent="0.25">
      <c r="A241" s="66"/>
      <c r="B241" s="65"/>
      <c r="C241" s="63"/>
      <c r="D241" s="63"/>
      <c r="E241" s="63"/>
      <c r="F241" s="68"/>
      <c r="G241" s="63"/>
      <c r="H241" s="63"/>
      <c r="I241" s="106"/>
      <c r="J241" s="106"/>
      <c r="K241" s="108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36.75" customHeight="1" x14ac:dyDescent="0.25">
      <c r="A242" s="66"/>
      <c r="B242" s="65"/>
      <c r="C242" s="63"/>
      <c r="D242" s="63"/>
      <c r="E242" s="63"/>
      <c r="F242" s="68"/>
      <c r="G242" s="63"/>
      <c r="H242" s="63"/>
      <c r="I242" s="106"/>
      <c r="J242" s="106"/>
      <c r="K242" s="108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30" customHeight="1" x14ac:dyDescent="0.25">
      <c r="A243" s="66"/>
      <c r="B243" s="65"/>
      <c r="C243" s="63"/>
      <c r="D243" s="63"/>
      <c r="E243" s="63"/>
      <c r="F243" s="68"/>
      <c r="G243" s="63"/>
      <c r="H243" s="63"/>
      <c r="I243" s="106"/>
      <c r="J243" s="106"/>
      <c r="K243" s="108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30" customHeight="1" x14ac:dyDescent="0.25">
      <c r="A244" s="66"/>
      <c r="B244" s="65"/>
      <c r="C244" s="63"/>
      <c r="D244" s="63"/>
      <c r="E244" s="63"/>
      <c r="F244" s="68"/>
      <c r="G244" s="63"/>
      <c r="H244" s="63"/>
      <c r="I244" s="106"/>
      <c r="J244" s="106"/>
      <c r="K244" s="108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45.75" customHeight="1" x14ac:dyDescent="0.25">
      <c r="A245" s="66"/>
      <c r="B245" s="65"/>
      <c r="C245" s="63"/>
      <c r="D245" s="63"/>
      <c r="E245" s="63"/>
      <c r="F245" s="68"/>
      <c r="G245" s="63"/>
      <c r="H245" s="63"/>
      <c r="I245" s="106"/>
      <c r="J245" s="106"/>
      <c r="K245" s="108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30" customHeight="1" x14ac:dyDescent="0.25">
      <c r="A246" s="66"/>
      <c r="B246" s="65"/>
      <c r="C246" s="63"/>
      <c r="D246" s="63"/>
      <c r="E246" s="63"/>
      <c r="F246" s="68"/>
      <c r="G246" s="63"/>
      <c r="H246" s="63"/>
      <c r="I246" s="106"/>
      <c r="J246" s="106"/>
      <c r="K246" s="108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30" customHeight="1" x14ac:dyDescent="0.25">
      <c r="A247" s="66"/>
      <c r="B247" s="65"/>
      <c r="C247" s="63"/>
      <c r="D247" s="63"/>
      <c r="E247" s="63"/>
      <c r="F247" s="68"/>
      <c r="G247" s="63"/>
      <c r="H247" s="63"/>
      <c r="I247" s="106"/>
      <c r="J247" s="106"/>
      <c r="K247" s="108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2.75" customHeight="1" x14ac:dyDescent="0.25">
      <c r="A248" s="66"/>
      <c r="B248" s="65"/>
      <c r="C248" s="63"/>
      <c r="D248" s="63"/>
      <c r="E248" s="63"/>
      <c r="F248" s="68"/>
      <c r="G248" s="63"/>
      <c r="H248" s="63"/>
      <c r="I248" s="106"/>
      <c r="J248" s="106"/>
      <c r="K248" s="108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21.75" customHeight="1" x14ac:dyDescent="0.25">
      <c r="A249" s="66"/>
      <c r="B249" s="65"/>
      <c r="C249" s="63"/>
      <c r="D249" s="63"/>
      <c r="E249" s="63"/>
      <c r="F249" s="68"/>
      <c r="G249" s="63"/>
      <c r="H249" s="63"/>
      <c r="I249" s="106"/>
      <c r="J249" s="106"/>
      <c r="K249" s="108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2.75" customHeight="1" x14ac:dyDescent="0.25">
      <c r="A250" s="66"/>
      <c r="B250" s="65"/>
      <c r="C250" s="63"/>
      <c r="D250" s="63"/>
      <c r="E250" s="63"/>
      <c r="F250" s="68"/>
      <c r="G250" s="63"/>
      <c r="H250" s="63"/>
      <c r="I250" s="106"/>
      <c r="J250" s="106"/>
      <c r="K250" s="108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2.75" customHeight="1" x14ac:dyDescent="0.25">
      <c r="A251" s="66"/>
      <c r="B251" s="65"/>
      <c r="C251" s="63"/>
      <c r="D251" s="63"/>
      <c r="E251" s="63"/>
      <c r="F251" s="68"/>
      <c r="G251" s="63"/>
      <c r="H251" s="63"/>
      <c r="I251" s="106"/>
      <c r="J251" s="106"/>
      <c r="K251" s="108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2.75" customHeight="1" x14ac:dyDescent="0.25">
      <c r="A252" s="66"/>
      <c r="B252" s="65"/>
      <c r="C252" s="63"/>
      <c r="D252" s="63"/>
      <c r="E252" s="63"/>
      <c r="F252" s="68"/>
      <c r="G252" s="63"/>
      <c r="H252" s="63"/>
      <c r="I252" s="106"/>
      <c r="J252" s="106"/>
      <c r="K252" s="108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27.75" customHeight="1" x14ac:dyDescent="0.25">
      <c r="A253" s="66"/>
      <c r="B253" s="65"/>
      <c r="C253" s="93"/>
      <c r="D253" s="63"/>
      <c r="E253" s="63"/>
      <c r="F253" s="68"/>
      <c r="G253" s="63"/>
      <c r="H253" s="63"/>
      <c r="I253" s="106"/>
      <c r="J253" s="106"/>
      <c r="K253" s="107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2.75" customHeight="1" x14ac:dyDescent="0.25">
      <c r="A254" s="66"/>
      <c r="B254" s="65"/>
      <c r="C254" s="63"/>
      <c r="D254" s="63"/>
      <c r="E254" s="63"/>
      <c r="F254" s="68"/>
      <c r="G254" s="63"/>
      <c r="H254" s="63"/>
      <c r="I254" s="106"/>
      <c r="J254" s="106"/>
      <c r="K254" s="108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35.25" customHeight="1" x14ac:dyDescent="0.25">
      <c r="A255" s="66"/>
      <c r="B255" s="65"/>
      <c r="C255" s="63"/>
      <c r="D255" s="63"/>
      <c r="E255" s="63"/>
      <c r="F255" s="68"/>
      <c r="G255" s="63"/>
      <c r="H255" s="63"/>
      <c r="I255" s="106"/>
      <c r="J255" s="106"/>
      <c r="K255" s="108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35.25" customHeight="1" x14ac:dyDescent="0.25">
      <c r="A256" s="66"/>
      <c r="B256" s="65"/>
      <c r="C256" s="63"/>
      <c r="D256" s="63"/>
      <c r="E256" s="63"/>
      <c r="F256" s="68"/>
      <c r="G256" s="63"/>
      <c r="H256" s="63"/>
      <c r="I256" s="106"/>
      <c r="J256" s="106"/>
      <c r="K256" s="108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7.25" customHeight="1" x14ac:dyDescent="0.25">
      <c r="A257" s="66"/>
      <c r="B257" s="65"/>
      <c r="C257" s="63"/>
      <c r="D257" s="63"/>
      <c r="E257" s="65"/>
      <c r="F257" s="68"/>
      <c r="G257" s="63"/>
      <c r="H257" s="63"/>
      <c r="I257" s="106"/>
      <c r="J257" s="106"/>
      <c r="K257" s="107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37.5" customHeight="1" x14ac:dyDescent="0.25">
      <c r="A258" s="66"/>
      <c r="B258" s="65"/>
      <c r="C258" s="63"/>
      <c r="D258" s="63"/>
      <c r="E258" s="63"/>
      <c r="F258" s="68"/>
      <c r="G258" s="63"/>
      <c r="H258" s="63"/>
      <c r="I258" s="106"/>
      <c r="J258" s="106"/>
      <c r="K258" s="113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9.5" customHeight="1" x14ac:dyDescent="0.25">
      <c r="A259" s="66"/>
      <c r="B259" s="65"/>
      <c r="C259" s="63"/>
      <c r="D259" s="63"/>
      <c r="E259" s="63"/>
      <c r="F259" s="68"/>
      <c r="G259" s="63"/>
      <c r="H259" s="114"/>
      <c r="I259" s="106"/>
      <c r="J259" s="106"/>
      <c r="K259" s="63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7.25" customHeight="1" x14ac:dyDescent="0.25">
      <c r="A260" s="66"/>
      <c r="B260" s="65"/>
      <c r="C260" s="63"/>
      <c r="D260" s="63"/>
      <c r="E260" s="63"/>
      <c r="F260" s="68"/>
      <c r="G260" s="63"/>
      <c r="H260" s="114"/>
      <c r="I260" s="106"/>
      <c r="J260" s="106"/>
      <c r="K260" s="63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2.75" customHeight="1" x14ac:dyDescent="0.25">
      <c r="A261" s="66"/>
      <c r="B261" s="65"/>
      <c r="C261" s="63"/>
      <c r="D261" s="63"/>
      <c r="E261" s="63"/>
      <c r="F261" s="68"/>
      <c r="G261" s="63"/>
      <c r="H261" s="114"/>
      <c r="I261" s="106"/>
      <c r="J261" s="106"/>
      <c r="K261" s="63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23.25" customHeight="1" x14ac:dyDescent="0.25">
      <c r="A262" s="66"/>
      <c r="B262" s="65"/>
      <c r="C262" s="63"/>
      <c r="D262" s="63"/>
      <c r="E262" s="63"/>
      <c r="F262" s="68"/>
      <c r="G262" s="63"/>
      <c r="H262" s="114"/>
      <c r="I262" s="106"/>
      <c r="J262" s="106"/>
      <c r="K262" s="108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31.5" customHeight="1" x14ac:dyDescent="0.25">
      <c r="A263" s="66"/>
      <c r="B263" s="65"/>
      <c r="C263" s="63"/>
      <c r="D263" s="63"/>
      <c r="E263" s="65"/>
      <c r="F263" s="68"/>
      <c r="G263" s="63"/>
      <c r="H263" s="114"/>
      <c r="I263" s="106"/>
      <c r="J263" s="106"/>
      <c r="K263" s="113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31.5" customHeight="1" x14ac:dyDescent="0.25">
      <c r="A264" s="66"/>
      <c r="B264" s="65"/>
      <c r="C264" s="63"/>
      <c r="D264" s="63"/>
      <c r="E264" s="63"/>
      <c r="F264" s="68"/>
      <c r="G264" s="63"/>
      <c r="H264" s="114"/>
      <c r="I264" s="106"/>
      <c r="J264" s="106"/>
      <c r="K264" s="113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31.5" customHeight="1" x14ac:dyDescent="0.25">
      <c r="A265" s="66"/>
      <c r="B265" s="65"/>
      <c r="C265" s="63"/>
      <c r="D265" s="63"/>
      <c r="E265" s="63"/>
      <c r="F265" s="68"/>
      <c r="G265" s="63"/>
      <c r="H265" s="114"/>
      <c r="I265" s="106"/>
      <c r="J265" s="106"/>
      <c r="K265" s="113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22.5" customHeight="1" x14ac:dyDescent="0.25">
      <c r="A266" s="66"/>
      <c r="B266" s="65"/>
      <c r="C266" s="63"/>
      <c r="D266" s="63"/>
      <c r="E266" s="63"/>
      <c r="F266" s="68"/>
      <c r="G266" s="63"/>
      <c r="H266" s="114"/>
      <c r="I266" s="106"/>
      <c r="J266" s="106"/>
      <c r="K266" s="113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22.5" customHeight="1" x14ac:dyDescent="0.25">
      <c r="A267" s="66"/>
      <c r="B267" s="65"/>
      <c r="C267" s="63"/>
      <c r="D267" s="63"/>
      <c r="E267" s="63"/>
      <c r="F267" s="68"/>
      <c r="G267" s="63"/>
      <c r="H267" s="114"/>
      <c r="I267" s="106"/>
      <c r="J267" s="106"/>
      <c r="K267" s="113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23.25" customHeight="1" x14ac:dyDescent="0.25">
      <c r="A268" s="66"/>
      <c r="B268" s="65"/>
      <c r="C268" s="63"/>
      <c r="D268" s="63"/>
      <c r="E268" s="63"/>
      <c r="F268" s="68"/>
      <c r="G268" s="63"/>
      <c r="H268" s="114"/>
      <c r="I268" s="106"/>
      <c r="J268" s="106"/>
      <c r="K268" s="108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37.5" customHeight="1" x14ac:dyDescent="0.25">
      <c r="A269" s="66"/>
      <c r="B269" s="65"/>
      <c r="C269" s="63"/>
      <c r="D269" s="63"/>
      <c r="E269" s="65"/>
      <c r="F269" s="68"/>
      <c r="G269" s="63"/>
      <c r="H269" s="114"/>
      <c r="I269" s="106"/>
      <c r="J269" s="106"/>
      <c r="K269" s="113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66"/>
      <c r="B270" s="65"/>
      <c r="C270" s="63"/>
      <c r="D270" s="63"/>
      <c r="E270" s="63"/>
      <c r="F270" s="68"/>
      <c r="G270" s="63"/>
      <c r="H270" s="114"/>
      <c r="I270" s="106"/>
      <c r="J270" s="106"/>
      <c r="K270" s="63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66"/>
      <c r="B271" s="65"/>
      <c r="C271" s="63"/>
      <c r="D271" s="63"/>
      <c r="E271" s="63"/>
      <c r="F271" s="68"/>
      <c r="G271" s="63"/>
      <c r="H271" s="114"/>
      <c r="I271" s="106"/>
      <c r="J271" s="106"/>
      <c r="K271" s="113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66"/>
      <c r="B272" s="65"/>
      <c r="C272" s="63"/>
      <c r="D272" s="63"/>
      <c r="E272" s="63"/>
      <c r="F272" s="68"/>
      <c r="G272" s="63"/>
      <c r="H272" s="114"/>
      <c r="I272" s="106"/>
      <c r="J272" s="106"/>
      <c r="K272" s="113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66"/>
      <c r="B273" s="65"/>
      <c r="C273" s="63"/>
      <c r="D273" s="63"/>
      <c r="E273" s="63"/>
      <c r="F273" s="68"/>
      <c r="G273" s="63"/>
      <c r="H273" s="63"/>
      <c r="I273" s="106"/>
      <c r="J273" s="106"/>
      <c r="K273" s="113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66"/>
      <c r="B274" s="65"/>
      <c r="C274" s="63"/>
      <c r="D274" s="63"/>
      <c r="E274" s="63"/>
      <c r="F274" s="68"/>
      <c r="G274" s="63"/>
      <c r="H274" s="114"/>
      <c r="I274" s="106"/>
      <c r="J274" s="106"/>
      <c r="K274" s="113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27.75" customHeight="1" x14ac:dyDescent="0.25">
      <c r="A275" s="66"/>
      <c r="B275" s="65"/>
      <c r="C275" s="63"/>
      <c r="D275" s="63"/>
      <c r="E275" s="63"/>
      <c r="F275" s="68"/>
      <c r="G275" s="63"/>
      <c r="H275" s="114"/>
      <c r="I275" s="106"/>
      <c r="J275" s="106"/>
      <c r="K275" s="113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22.5" customHeight="1" x14ac:dyDescent="0.25">
      <c r="A276" s="66"/>
      <c r="B276" s="65"/>
      <c r="C276" s="63"/>
      <c r="D276" s="63"/>
      <c r="E276" s="115"/>
      <c r="F276" s="68"/>
      <c r="G276" s="63"/>
      <c r="H276" s="114"/>
      <c r="I276" s="106"/>
      <c r="J276" s="106"/>
      <c r="K276" s="113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23.25" customHeight="1" x14ac:dyDescent="0.25">
      <c r="A277" s="66"/>
      <c r="B277" s="65"/>
      <c r="C277" s="63"/>
      <c r="D277" s="63"/>
      <c r="E277" s="111"/>
      <c r="F277" s="68"/>
      <c r="G277" s="63"/>
      <c r="H277" s="114"/>
      <c r="I277" s="106"/>
      <c r="J277" s="106"/>
      <c r="K277" s="63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2.75" customHeight="1" x14ac:dyDescent="0.25">
      <c r="A278" s="66"/>
      <c r="B278" s="65"/>
      <c r="C278" s="63"/>
      <c r="D278" s="63"/>
      <c r="E278" s="115"/>
      <c r="F278" s="68"/>
      <c r="G278" s="63"/>
      <c r="H278" s="114"/>
      <c r="I278" s="106"/>
      <c r="J278" s="106"/>
      <c r="K278" s="113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2.75" customHeight="1" x14ac:dyDescent="0.25">
      <c r="A279" s="116"/>
      <c r="B279" s="117"/>
      <c r="C279" s="99"/>
      <c r="D279" s="99"/>
      <c r="E279" s="99"/>
      <c r="F279" s="118"/>
      <c r="G279" s="99"/>
      <c r="H279" s="99"/>
      <c r="I279" s="119"/>
      <c r="J279" s="119" t="str">
        <f t="array" aca="1" ref="J279" ca="1">IFERROR(IFS('ARNES-CABO DE VIDA'!#REF!="ANUAL",'ARNES-CABO DE VIDA'!$I279+365,'ARNES-CABO DE VIDA'!#REF!="SEMESTRAL",'ARNES-CABO DE VIDA'!$I279+183,'ARNES-CABO DE VIDA'!#REF!="QUINCENAL",'ARNES-CABO DE VIDA'!$I279+15), "")</f>
        <v/>
      </c>
      <c r="K279" s="120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2.75" customHeight="1" x14ac:dyDescent="0.25">
      <c r="A280" s="116"/>
      <c r="B280" s="117"/>
      <c r="C280" s="99"/>
      <c r="D280" s="99"/>
      <c r="E280" s="99"/>
      <c r="F280" s="118"/>
      <c r="G280" s="99"/>
      <c r="H280" s="99"/>
      <c r="I280" s="119"/>
      <c r="J280" s="119" t="str">
        <f t="array" aca="1" ref="J280" ca="1">IFERROR(IFS('ARNES-CABO DE VIDA'!#REF!="ANUAL",'ARNES-CABO DE VIDA'!$I280+365,'ARNES-CABO DE VIDA'!#REF!="SEMESTRAL",'ARNES-CABO DE VIDA'!$I280+183,'ARNES-CABO DE VIDA'!#REF!="QUINCENAL",'ARNES-CABO DE VIDA'!$I280+15), "")</f>
        <v/>
      </c>
      <c r="K280" s="120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2.75" customHeight="1" x14ac:dyDescent="0.25">
      <c r="A281" s="116"/>
      <c r="B281" s="117"/>
      <c r="C281" s="99"/>
      <c r="D281" s="99"/>
      <c r="E281" s="99"/>
      <c r="F281" s="118"/>
      <c r="G281" s="99"/>
      <c r="H281" s="99"/>
      <c r="I281" s="119"/>
      <c r="J281" s="119" t="str">
        <f t="array" aca="1" ref="J281" ca="1">IFERROR(IFS('ARNES-CABO DE VIDA'!#REF!="ANUAL",'ARNES-CABO DE VIDA'!$I281+365,'ARNES-CABO DE VIDA'!#REF!="SEMESTRAL",'ARNES-CABO DE VIDA'!$I281+183,'ARNES-CABO DE VIDA'!#REF!="QUINCENAL",'ARNES-CABO DE VIDA'!$I281+15), "")</f>
        <v/>
      </c>
      <c r="K281" s="120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2.75" customHeight="1" x14ac:dyDescent="0.25">
      <c r="A282" s="116"/>
      <c r="B282" s="117"/>
      <c r="C282" s="99"/>
      <c r="D282" s="99"/>
      <c r="E282" s="99"/>
      <c r="F282" s="118"/>
      <c r="G282" s="99"/>
      <c r="H282" s="99"/>
      <c r="I282" s="119"/>
      <c r="J282" s="119" t="str">
        <f t="array" aca="1" ref="J282" ca="1">IFERROR(IFS('ARNES-CABO DE VIDA'!#REF!="ANUAL",'ARNES-CABO DE VIDA'!$I282+365,'ARNES-CABO DE VIDA'!#REF!="SEMESTRAL",'ARNES-CABO DE VIDA'!$I282+183,'ARNES-CABO DE VIDA'!#REF!="QUINCENAL",'ARNES-CABO DE VIDA'!$I282+15), "")</f>
        <v/>
      </c>
      <c r="K282" s="120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2.75" customHeight="1" x14ac:dyDescent="0.25">
      <c r="A283" s="116"/>
      <c r="B283" s="117"/>
      <c r="C283" s="99"/>
      <c r="D283" s="99"/>
      <c r="E283" s="99"/>
      <c r="F283" s="118"/>
      <c r="G283" s="99"/>
      <c r="H283" s="99"/>
      <c r="I283" s="119"/>
      <c r="J283" s="119" t="str">
        <f t="array" aca="1" ref="J283" ca="1">IFERROR(IFS('ARNES-CABO DE VIDA'!#REF!="ANUAL",'ARNES-CABO DE VIDA'!$I283+365,'ARNES-CABO DE VIDA'!#REF!="SEMESTRAL",'ARNES-CABO DE VIDA'!$I283+183,'ARNES-CABO DE VIDA'!#REF!="QUINCENAL",'ARNES-CABO DE VIDA'!$I283+15), "")</f>
        <v/>
      </c>
      <c r="K283" s="120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2.75" customHeight="1" x14ac:dyDescent="0.25">
      <c r="A284" s="116"/>
      <c r="B284" s="117"/>
      <c r="C284" s="99"/>
      <c r="D284" s="99"/>
      <c r="E284" s="99"/>
      <c r="F284" s="118"/>
      <c r="G284" s="99"/>
      <c r="H284" s="99"/>
      <c r="I284" s="119"/>
      <c r="J284" s="119" t="str">
        <f t="array" aca="1" ref="J284" ca="1">IFERROR(IFS('ARNES-CABO DE VIDA'!#REF!="ANUAL",'ARNES-CABO DE VIDA'!$I284+365,'ARNES-CABO DE VIDA'!#REF!="SEMESTRAL",'ARNES-CABO DE VIDA'!$I284+183,'ARNES-CABO DE VIDA'!#REF!="QUINCENAL",'ARNES-CABO DE VIDA'!$I284+15), "")</f>
        <v/>
      </c>
      <c r="K284" s="120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2.75" customHeight="1" x14ac:dyDescent="0.25">
      <c r="A285" s="116"/>
      <c r="B285" s="117"/>
      <c r="C285" s="99"/>
      <c r="D285" s="99"/>
      <c r="E285" s="99"/>
      <c r="F285" s="118"/>
      <c r="G285" s="99"/>
      <c r="H285" s="99"/>
      <c r="I285" s="119"/>
      <c r="J285" s="119" t="str">
        <f t="array" aca="1" ref="J285" ca="1">IFERROR(IFS('ARNES-CABO DE VIDA'!#REF!="ANUAL",'ARNES-CABO DE VIDA'!$I285+365,'ARNES-CABO DE VIDA'!#REF!="SEMESTRAL",'ARNES-CABO DE VIDA'!$I285+183,'ARNES-CABO DE VIDA'!#REF!="QUINCENAL",'ARNES-CABO DE VIDA'!$I285+15), "")</f>
        <v/>
      </c>
      <c r="K285" s="120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2.75" customHeight="1" x14ac:dyDescent="0.25">
      <c r="A286" s="116"/>
      <c r="B286" s="117"/>
      <c r="C286" s="99"/>
      <c r="D286" s="99"/>
      <c r="E286" s="99"/>
      <c r="F286" s="118"/>
      <c r="G286" s="99"/>
      <c r="H286" s="99"/>
      <c r="I286" s="119"/>
      <c r="J286" s="119" t="str">
        <f t="array" aca="1" ref="J286" ca="1">IFERROR(IFS('ARNES-CABO DE VIDA'!#REF!="ANUAL",'ARNES-CABO DE VIDA'!$I286+365,'ARNES-CABO DE VIDA'!#REF!="SEMESTRAL",'ARNES-CABO DE VIDA'!$I286+183,'ARNES-CABO DE VIDA'!#REF!="QUINCENAL",'ARNES-CABO DE VIDA'!$I286+15), "")</f>
        <v/>
      </c>
      <c r="K286" s="120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2.75" customHeight="1" x14ac:dyDescent="0.25">
      <c r="A287" s="116"/>
      <c r="B287" s="117"/>
      <c r="C287" s="99"/>
      <c r="D287" s="99"/>
      <c r="E287" s="99"/>
      <c r="F287" s="118"/>
      <c r="G287" s="99"/>
      <c r="H287" s="99"/>
      <c r="I287" s="119"/>
      <c r="J287" s="119" t="str">
        <f t="array" aca="1" ref="J287" ca="1">IFERROR(IFS('ARNES-CABO DE VIDA'!#REF!="ANUAL",'ARNES-CABO DE VIDA'!$I287+365,'ARNES-CABO DE VIDA'!#REF!="SEMESTRAL",'ARNES-CABO DE VIDA'!$I287+183,'ARNES-CABO DE VIDA'!#REF!="QUINCENAL",'ARNES-CABO DE VIDA'!$I287+15), "")</f>
        <v/>
      </c>
      <c r="K287" s="120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2.75" customHeight="1" x14ac:dyDescent="0.25">
      <c r="A288" s="116"/>
      <c r="B288" s="117"/>
      <c r="C288" s="99"/>
      <c r="D288" s="99"/>
      <c r="E288" s="99"/>
      <c r="F288" s="118"/>
      <c r="G288" s="99"/>
      <c r="H288" s="99"/>
      <c r="I288" s="119"/>
      <c r="J288" s="119" t="str">
        <f t="array" aca="1" ref="J288" ca="1">IFERROR(IFS('ARNES-CABO DE VIDA'!#REF!="ANUAL",'ARNES-CABO DE VIDA'!$I288+365,'ARNES-CABO DE VIDA'!#REF!="SEMESTRAL",'ARNES-CABO DE VIDA'!$I288+183,'ARNES-CABO DE VIDA'!#REF!="QUINCENAL",'ARNES-CABO DE VIDA'!$I288+15), "")</f>
        <v/>
      </c>
      <c r="K288" s="120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2.75" customHeight="1" x14ac:dyDescent="0.25">
      <c r="A289" s="116"/>
      <c r="B289" s="117"/>
      <c r="C289" s="99"/>
      <c r="D289" s="99"/>
      <c r="E289" s="99"/>
      <c r="F289" s="118"/>
      <c r="G289" s="99"/>
      <c r="H289" s="99"/>
      <c r="I289" s="119"/>
      <c r="J289" s="119" t="str">
        <f t="array" aca="1" ref="J289" ca="1">IFERROR(IFS('ARNES-CABO DE VIDA'!#REF!="ANUAL",'ARNES-CABO DE VIDA'!$I289+365,'ARNES-CABO DE VIDA'!#REF!="SEMESTRAL",'ARNES-CABO DE VIDA'!$I289+183,'ARNES-CABO DE VIDA'!#REF!="QUINCENAL",'ARNES-CABO DE VIDA'!$I289+15), "")</f>
        <v/>
      </c>
      <c r="K289" s="120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2.75" customHeight="1" x14ac:dyDescent="0.25">
      <c r="A290" s="116"/>
      <c r="B290" s="117"/>
      <c r="C290" s="99"/>
      <c r="D290" s="99"/>
      <c r="E290" s="99"/>
      <c r="F290" s="118"/>
      <c r="G290" s="99"/>
      <c r="H290" s="99"/>
      <c r="I290" s="119"/>
      <c r="J290" s="119" t="str">
        <f t="array" aca="1" ref="J290" ca="1">IFERROR(IFS('ARNES-CABO DE VIDA'!#REF!="ANUAL",'ARNES-CABO DE VIDA'!$I290+365,'ARNES-CABO DE VIDA'!#REF!="SEMESTRAL",'ARNES-CABO DE VIDA'!$I290+183,'ARNES-CABO DE VIDA'!#REF!="QUINCENAL",'ARNES-CABO DE VIDA'!$I290+15), "")</f>
        <v/>
      </c>
      <c r="K290" s="120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2.75" customHeight="1" x14ac:dyDescent="0.25">
      <c r="A291" s="116"/>
      <c r="B291" s="117"/>
      <c r="C291" s="99"/>
      <c r="D291" s="99"/>
      <c r="E291" s="99"/>
      <c r="F291" s="118"/>
      <c r="G291" s="99"/>
      <c r="H291" s="99"/>
      <c r="I291" s="119"/>
      <c r="J291" s="119" t="str">
        <f t="array" aca="1" ref="J291" ca="1">IFERROR(IFS('ARNES-CABO DE VIDA'!#REF!="ANUAL",'ARNES-CABO DE VIDA'!$I291+365,'ARNES-CABO DE VIDA'!#REF!="SEMESTRAL",'ARNES-CABO DE VIDA'!$I291+183,'ARNES-CABO DE VIDA'!#REF!="QUINCENAL",'ARNES-CABO DE VIDA'!$I291+15), "")</f>
        <v/>
      </c>
      <c r="K291" s="120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2.75" customHeight="1" x14ac:dyDescent="0.25">
      <c r="A292" s="116"/>
      <c r="B292" s="117"/>
      <c r="C292" s="99"/>
      <c r="D292" s="99"/>
      <c r="E292" s="99"/>
      <c r="F292" s="118"/>
      <c r="G292" s="99"/>
      <c r="H292" s="99"/>
      <c r="I292" s="119"/>
      <c r="J292" s="119" t="str">
        <f t="array" aca="1" ref="J292" ca="1">IFERROR(IFS('ARNES-CABO DE VIDA'!#REF!="ANUAL",'ARNES-CABO DE VIDA'!$I292+365,'ARNES-CABO DE VIDA'!#REF!="SEMESTRAL",'ARNES-CABO DE VIDA'!$I292+183,'ARNES-CABO DE VIDA'!#REF!="QUINCENAL",'ARNES-CABO DE VIDA'!$I292+15), "")</f>
        <v/>
      </c>
      <c r="K292" s="120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2.75" customHeight="1" x14ac:dyDescent="0.25">
      <c r="A293" s="116"/>
      <c r="B293" s="117"/>
      <c r="C293" s="99"/>
      <c r="D293" s="99"/>
      <c r="E293" s="99"/>
      <c r="F293" s="118"/>
      <c r="G293" s="99"/>
      <c r="H293" s="99"/>
      <c r="I293" s="119"/>
      <c r="J293" s="119" t="str">
        <f t="array" aca="1" ref="J293" ca="1">IFERROR(IFS('ARNES-CABO DE VIDA'!#REF!="ANUAL",'ARNES-CABO DE VIDA'!$I293+365,'ARNES-CABO DE VIDA'!#REF!="SEMESTRAL",'ARNES-CABO DE VIDA'!$I293+183,'ARNES-CABO DE VIDA'!#REF!="QUINCENAL",'ARNES-CABO DE VIDA'!$I293+15), "")</f>
        <v/>
      </c>
      <c r="K293" s="120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2.75" customHeight="1" x14ac:dyDescent="0.25">
      <c r="A294" s="116"/>
      <c r="B294" s="117"/>
      <c r="C294" s="99"/>
      <c r="D294" s="99"/>
      <c r="E294" s="99"/>
      <c r="F294" s="118"/>
      <c r="G294" s="99"/>
      <c r="H294" s="99"/>
      <c r="I294" s="119"/>
      <c r="J294" s="119" t="str">
        <f t="array" aca="1" ref="J294" ca="1">IFERROR(IFS('ARNES-CABO DE VIDA'!#REF!="ANUAL",'ARNES-CABO DE VIDA'!$I294+365,'ARNES-CABO DE VIDA'!#REF!="SEMESTRAL",'ARNES-CABO DE VIDA'!$I294+183,'ARNES-CABO DE VIDA'!#REF!="QUINCENAL",'ARNES-CABO DE VIDA'!$I294+15), "")</f>
        <v/>
      </c>
      <c r="K294" s="120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2.75" customHeight="1" x14ac:dyDescent="0.25">
      <c r="A295" s="116"/>
      <c r="B295" s="117"/>
      <c r="C295" s="99"/>
      <c r="D295" s="99"/>
      <c r="E295" s="99"/>
      <c r="F295" s="118"/>
      <c r="G295" s="99"/>
      <c r="H295" s="99"/>
      <c r="I295" s="119"/>
      <c r="J295" s="119" t="str">
        <f t="array" aca="1" ref="J295" ca="1">IFERROR(IFS('ARNES-CABO DE VIDA'!#REF!="ANUAL",'ARNES-CABO DE VIDA'!$I295+365,'ARNES-CABO DE VIDA'!#REF!="SEMESTRAL",'ARNES-CABO DE VIDA'!$I295+183,'ARNES-CABO DE VIDA'!#REF!="QUINCENAL",'ARNES-CABO DE VIDA'!$I295+15), "")</f>
        <v/>
      </c>
      <c r="K295" s="120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2.75" customHeight="1" x14ac:dyDescent="0.25">
      <c r="A296" s="116"/>
      <c r="B296" s="117"/>
      <c r="C296" s="99"/>
      <c r="D296" s="99"/>
      <c r="E296" s="99"/>
      <c r="F296" s="118"/>
      <c r="G296" s="99"/>
      <c r="H296" s="99"/>
      <c r="I296" s="119"/>
      <c r="J296" s="119" t="str">
        <f t="array" aca="1" ref="J296" ca="1">IFERROR(IFS('ARNES-CABO DE VIDA'!#REF!="ANUAL",'ARNES-CABO DE VIDA'!$I296+365,'ARNES-CABO DE VIDA'!#REF!="SEMESTRAL",'ARNES-CABO DE VIDA'!$I296+183,'ARNES-CABO DE VIDA'!#REF!="QUINCENAL",'ARNES-CABO DE VIDA'!$I296+15), "")</f>
        <v/>
      </c>
      <c r="K296" s="120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2.75" customHeight="1" x14ac:dyDescent="0.25">
      <c r="A297" s="116"/>
      <c r="B297" s="117"/>
      <c r="C297" s="99"/>
      <c r="D297" s="99"/>
      <c r="E297" s="99"/>
      <c r="F297" s="118"/>
      <c r="G297" s="99"/>
      <c r="H297" s="99"/>
      <c r="I297" s="119"/>
      <c r="J297" s="119" t="str">
        <f t="array" aca="1" ref="J297" ca="1">IFERROR(IFS('ARNES-CABO DE VIDA'!#REF!="ANUAL",'ARNES-CABO DE VIDA'!$I297+365,'ARNES-CABO DE VIDA'!#REF!="SEMESTRAL",'ARNES-CABO DE VIDA'!$I297+183,'ARNES-CABO DE VIDA'!#REF!="QUINCENAL",'ARNES-CABO DE VIDA'!$I297+15), "")</f>
        <v/>
      </c>
      <c r="K297" s="120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2.75" customHeight="1" x14ac:dyDescent="0.25">
      <c r="A298" s="116"/>
      <c r="B298" s="117"/>
      <c r="C298" s="99"/>
      <c r="D298" s="99"/>
      <c r="E298" s="99"/>
      <c r="F298" s="118"/>
      <c r="G298" s="99"/>
      <c r="H298" s="99"/>
      <c r="I298" s="119"/>
      <c r="J298" s="119" t="str">
        <f t="array" aca="1" ref="J298" ca="1">IFERROR(IFS('ARNES-CABO DE VIDA'!#REF!="ANUAL",'ARNES-CABO DE VIDA'!$I298+365,'ARNES-CABO DE VIDA'!#REF!="SEMESTRAL",'ARNES-CABO DE VIDA'!$I298+183,'ARNES-CABO DE VIDA'!#REF!="QUINCENAL",'ARNES-CABO DE VIDA'!$I298+15), "")</f>
        <v/>
      </c>
      <c r="K298" s="120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2.75" customHeight="1" x14ac:dyDescent="0.25">
      <c r="A299" s="116"/>
      <c r="B299" s="117"/>
      <c r="C299" s="99"/>
      <c r="D299" s="99"/>
      <c r="E299" s="99"/>
      <c r="F299" s="118"/>
      <c r="G299" s="99"/>
      <c r="H299" s="99"/>
      <c r="I299" s="119"/>
      <c r="J299" s="119" t="str">
        <f t="array" aca="1" ref="J299" ca="1">IFERROR(IFS('ARNES-CABO DE VIDA'!#REF!="ANUAL",'ARNES-CABO DE VIDA'!$I299+365,'ARNES-CABO DE VIDA'!#REF!="SEMESTRAL",'ARNES-CABO DE VIDA'!$I299+183,'ARNES-CABO DE VIDA'!#REF!="QUINCENAL",'ARNES-CABO DE VIDA'!$I299+15), "")</f>
        <v/>
      </c>
      <c r="K299" s="120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2.75" customHeight="1" x14ac:dyDescent="0.25">
      <c r="A300" s="116"/>
      <c r="B300" s="117"/>
      <c r="C300" s="99"/>
      <c r="D300" s="99"/>
      <c r="E300" s="99"/>
      <c r="F300" s="118"/>
      <c r="G300" s="99"/>
      <c r="H300" s="99"/>
      <c r="I300" s="119"/>
      <c r="J300" s="119" t="str">
        <f t="array" aca="1" ref="J300" ca="1">IFERROR(IFS('ARNES-CABO DE VIDA'!#REF!="ANUAL",'ARNES-CABO DE VIDA'!$I300+365,'ARNES-CABO DE VIDA'!#REF!="SEMESTRAL",'ARNES-CABO DE VIDA'!$I300+183,'ARNES-CABO DE VIDA'!#REF!="QUINCENAL",'ARNES-CABO DE VIDA'!$I300+15), "")</f>
        <v/>
      </c>
      <c r="K300" s="120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2.75" customHeight="1" x14ac:dyDescent="0.25">
      <c r="A301" s="121"/>
      <c r="B301" s="122"/>
      <c r="C301" s="100"/>
      <c r="D301" s="123"/>
      <c r="E301" s="122"/>
      <c r="F301" s="122"/>
      <c r="G301" s="124"/>
      <c r="H301" s="122"/>
      <c r="I301" s="119"/>
      <c r="J301" s="82"/>
      <c r="K301" s="125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2.75" customHeight="1" x14ac:dyDescent="0.25">
      <c r="A302" s="116"/>
      <c r="B302" s="121"/>
      <c r="C302" s="101"/>
      <c r="D302" s="126"/>
      <c r="E302" s="121"/>
      <c r="F302" s="121"/>
      <c r="G302" s="127"/>
      <c r="H302" s="121"/>
      <c r="I302" s="125"/>
      <c r="J302" s="125"/>
      <c r="K302" s="125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2.75" customHeight="1" x14ac:dyDescent="0.25">
      <c r="A303" s="122"/>
      <c r="B303" s="122"/>
      <c r="C303" s="100"/>
      <c r="D303" s="123"/>
      <c r="E303" s="122"/>
      <c r="F303" s="122"/>
      <c r="G303" s="124"/>
      <c r="H303" s="122"/>
      <c r="I303" s="82"/>
      <c r="J303" s="82"/>
      <c r="K303" s="82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2.75" customHeight="1" x14ac:dyDescent="0.25">
      <c r="A304" s="122"/>
      <c r="B304" s="122"/>
      <c r="C304" s="100"/>
      <c r="D304" s="123"/>
      <c r="E304" s="122"/>
      <c r="F304" s="122"/>
      <c r="G304" s="124"/>
      <c r="H304" s="122"/>
      <c r="I304" s="82"/>
      <c r="J304" s="82"/>
      <c r="K304" s="82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2.75" customHeight="1" x14ac:dyDescent="0.25">
      <c r="A305" s="122"/>
      <c r="B305" s="122"/>
      <c r="C305" s="100"/>
      <c r="D305" s="123"/>
      <c r="E305" s="122"/>
      <c r="F305" s="122"/>
      <c r="G305" s="124"/>
      <c r="H305" s="122"/>
      <c r="I305" s="82"/>
      <c r="J305" s="82"/>
      <c r="K305" s="82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2.75" customHeight="1" x14ac:dyDescent="0.25">
      <c r="A306" s="122"/>
      <c r="B306" s="122"/>
      <c r="C306" s="100"/>
      <c r="D306" s="123"/>
      <c r="E306" s="122"/>
      <c r="F306" s="122"/>
      <c r="G306" s="124"/>
      <c r="H306" s="122"/>
      <c r="I306" s="82"/>
      <c r="J306" s="82"/>
      <c r="K306" s="82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2.75" customHeight="1" x14ac:dyDescent="0.25">
      <c r="A307" s="122"/>
      <c r="B307" s="122"/>
      <c r="C307" s="100"/>
      <c r="D307" s="123"/>
      <c r="E307" s="122"/>
      <c r="F307" s="122"/>
      <c r="G307" s="124"/>
      <c r="H307" s="122"/>
      <c r="I307" s="82"/>
      <c r="J307" s="82"/>
      <c r="K307" s="82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2.75" customHeight="1" x14ac:dyDescent="0.25">
      <c r="A308" s="122"/>
      <c r="B308" s="122"/>
      <c r="C308" s="100"/>
      <c r="D308" s="123"/>
      <c r="E308" s="122"/>
      <c r="F308" s="122"/>
      <c r="G308" s="124"/>
      <c r="H308" s="122"/>
      <c r="I308" s="82"/>
      <c r="J308" s="82"/>
      <c r="K308" s="82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2.75" customHeight="1" x14ac:dyDescent="0.25">
      <c r="A309" s="122"/>
      <c r="B309" s="122"/>
      <c r="C309" s="100"/>
      <c r="D309" s="123"/>
      <c r="E309" s="122"/>
      <c r="F309" s="122"/>
      <c r="G309" s="124"/>
      <c r="H309" s="122"/>
      <c r="I309" s="82"/>
      <c r="J309" s="82"/>
      <c r="K309" s="82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2.75" customHeight="1" x14ac:dyDescent="0.25">
      <c r="A310" s="122"/>
      <c r="B310" s="122"/>
      <c r="C310" s="100"/>
      <c r="D310" s="123"/>
      <c r="E310" s="122"/>
      <c r="F310" s="122"/>
      <c r="G310" s="124"/>
      <c r="H310" s="122"/>
      <c r="I310" s="82"/>
      <c r="J310" s="82"/>
      <c r="K310" s="82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2.75" customHeight="1" x14ac:dyDescent="0.25">
      <c r="A311" s="122"/>
      <c r="B311" s="122"/>
      <c r="C311" s="100"/>
      <c r="D311" s="123"/>
      <c r="E311" s="122"/>
      <c r="F311" s="122"/>
      <c r="G311" s="124"/>
      <c r="H311" s="122"/>
      <c r="I311" s="82"/>
      <c r="J311" s="82"/>
      <c r="K311" s="82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2.75" customHeight="1" x14ac:dyDescent="0.25">
      <c r="A312" s="122"/>
      <c r="B312" s="122"/>
      <c r="C312" s="100"/>
      <c r="D312" s="123"/>
      <c r="E312" s="122"/>
      <c r="F312" s="122"/>
      <c r="G312" s="124"/>
      <c r="H312" s="122"/>
      <c r="I312" s="82"/>
      <c r="J312" s="82"/>
      <c r="K312" s="82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2.75" customHeight="1" x14ac:dyDescent="0.25">
      <c r="A313" s="122"/>
      <c r="B313" s="122"/>
      <c r="C313" s="100"/>
      <c r="D313" s="123"/>
      <c r="E313" s="122"/>
      <c r="F313" s="122"/>
      <c r="G313" s="124"/>
      <c r="H313" s="122"/>
      <c r="I313" s="82"/>
      <c r="J313" s="82"/>
      <c r="K313" s="82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2.75" customHeight="1" x14ac:dyDescent="0.25">
      <c r="A314" s="122"/>
      <c r="B314" s="122"/>
      <c r="C314" s="100"/>
      <c r="D314" s="123"/>
      <c r="E314" s="122"/>
      <c r="F314" s="122"/>
      <c r="G314" s="124"/>
      <c r="H314" s="122"/>
      <c r="I314" s="82"/>
      <c r="J314" s="82"/>
      <c r="K314" s="82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2.75" customHeight="1" x14ac:dyDescent="0.25">
      <c r="A315" s="122"/>
      <c r="B315" s="122"/>
      <c r="C315" s="100"/>
      <c r="D315" s="123"/>
      <c r="E315" s="122"/>
      <c r="F315" s="122"/>
      <c r="G315" s="124"/>
      <c r="H315" s="122"/>
      <c r="I315" s="82"/>
      <c r="J315" s="82"/>
      <c r="K315" s="82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2.75" customHeight="1" x14ac:dyDescent="0.25">
      <c r="A316" s="122"/>
      <c r="B316" s="122"/>
      <c r="C316" s="100"/>
      <c r="D316" s="123"/>
      <c r="E316" s="122"/>
      <c r="F316" s="122"/>
      <c r="G316" s="124"/>
      <c r="H316" s="122"/>
      <c r="I316" s="82"/>
      <c r="J316" s="82"/>
      <c r="K316" s="82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2.75" customHeight="1" x14ac:dyDescent="0.25">
      <c r="A317" s="122"/>
      <c r="B317" s="122"/>
      <c r="C317" s="100"/>
      <c r="D317" s="123"/>
      <c r="E317" s="122"/>
      <c r="F317" s="122"/>
      <c r="G317" s="124"/>
      <c r="H317" s="122"/>
      <c r="I317" s="82"/>
      <c r="J317" s="82"/>
      <c r="K317" s="82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2.75" customHeight="1" x14ac:dyDescent="0.25">
      <c r="A318" s="122"/>
      <c r="B318" s="122"/>
      <c r="C318" s="100"/>
      <c r="D318" s="123"/>
      <c r="E318" s="122"/>
      <c r="F318" s="122"/>
      <c r="G318" s="124"/>
      <c r="H318" s="122"/>
      <c r="I318" s="82"/>
      <c r="J318" s="82"/>
      <c r="K318" s="82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2.75" customHeight="1" x14ac:dyDescent="0.25">
      <c r="A319" s="122"/>
      <c r="B319" s="122"/>
      <c r="C319" s="100"/>
      <c r="D319" s="123"/>
      <c r="E319" s="122"/>
      <c r="F319" s="122"/>
      <c r="G319" s="124"/>
      <c r="H319" s="122"/>
      <c r="I319" s="82"/>
      <c r="J319" s="82"/>
      <c r="K319" s="82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2.75" customHeight="1" x14ac:dyDescent="0.25">
      <c r="A320" s="122"/>
      <c r="B320" s="122"/>
      <c r="C320" s="100"/>
      <c r="D320" s="123"/>
      <c r="E320" s="122"/>
      <c r="F320" s="122"/>
      <c r="G320" s="124"/>
      <c r="H320" s="122"/>
      <c r="I320" s="82"/>
      <c r="J320" s="82"/>
      <c r="K320" s="82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2.75" customHeight="1" x14ac:dyDescent="0.25">
      <c r="A321" s="122"/>
      <c r="B321" s="122"/>
      <c r="C321" s="100"/>
      <c r="D321" s="123"/>
      <c r="E321" s="122"/>
      <c r="F321" s="122"/>
      <c r="G321" s="124"/>
      <c r="H321" s="122"/>
      <c r="I321" s="82"/>
      <c r="J321" s="82"/>
      <c r="K321" s="82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2.75" customHeight="1" x14ac:dyDescent="0.25">
      <c r="A322" s="122"/>
      <c r="B322" s="122"/>
      <c r="C322" s="100"/>
      <c r="D322" s="123"/>
      <c r="E322" s="122"/>
      <c r="F322" s="122"/>
      <c r="G322" s="124"/>
      <c r="H322" s="122"/>
      <c r="I322" s="82"/>
      <c r="J322" s="82"/>
      <c r="K322" s="82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2.75" customHeight="1" x14ac:dyDescent="0.25">
      <c r="A323" s="122"/>
      <c r="B323" s="122"/>
      <c r="C323" s="100"/>
      <c r="D323" s="123"/>
      <c r="E323" s="122"/>
      <c r="F323" s="122"/>
      <c r="G323" s="124"/>
      <c r="H323" s="122"/>
      <c r="I323" s="82"/>
      <c r="J323" s="82"/>
      <c r="K323" s="82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2.75" customHeight="1" x14ac:dyDescent="0.25">
      <c r="A324" s="122"/>
      <c r="B324" s="122"/>
      <c r="C324" s="100"/>
      <c r="D324" s="123"/>
      <c r="E324" s="122"/>
      <c r="F324" s="122"/>
      <c r="G324" s="124"/>
      <c r="H324" s="122"/>
      <c r="I324" s="82"/>
      <c r="J324" s="82"/>
      <c r="K324" s="82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2.75" customHeight="1" x14ac:dyDescent="0.25">
      <c r="A325" s="122"/>
      <c r="B325" s="122"/>
      <c r="C325" s="100"/>
      <c r="D325" s="123"/>
      <c r="E325" s="122"/>
      <c r="F325" s="122"/>
      <c r="G325" s="124"/>
      <c r="H325" s="122"/>
      <c r="I325" s="82"/>
      <c r="J325" s="82"/>
      <c r="K325" s="82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2.75" customHeight="1" x14ac:dyDescent="0.25">
      <c r="A326" s="122"/>
      <c r="B326" s="122"/>
      <c r="C326" s="100"/>
      <c r="D326" s="123"/>
      <c r="E326" s="122"/>
      <c r="F326" s="122"/>
      <c r="G326" s="124"/>
      <c r="H326" s="122"/>
      <c r="I326" s="82"/>
      <c r="J326" s="82"/>
      <c r="K326" s="82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2.75" customHeight="1" x14ac:dyDescent="0.25">
      <c r="A327" s="122"/>
      <c r="B327" s="122"/>
      <c r="C327" s="100"/>
      <c r="D327" s="123"/>
      <c r="E327" s="122"/>
      <c r="F327" s="122"/>
      <c r="G327" s="124"/>
      <c r="H327" s="122"/>
      <c r="I327" s="82"/>
      <c r="J327" s="82"/>
      <c r="K327" s="82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2.75" customHeight="1" x14ac:dyDescent="0.25">
      <c r="A328" s="122"/>
      <c r="B328" s="122"/>
      <c r="C328" s="100"/>
      <c r="D328" s="123"/>
      <c r="E328" s="122"/>
      <c r="F328" s="122"/>
      <c r="G328" s="124"/>
      <c r="H328" s="122"/>
      <c r="I328" s="82"/>
      <c r="J328" s="82"/>
      <c r="K328" s="82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2.75" customHeight="1" x14ac:dyDescent="0.25">
      <c r="A329" s="122"/>
      <c r="B329" s="122"/>
      <c r="C329" s="100"/>
      <c r="D329" s="123"/>
      <c r="E329" s="122"/>
      <c r="F329" s="122"/>
      <c r="G329" s="124"/>
      <c r="H329" s="122"/>
      <c r="I329" s="82"/>
      <c r="J329" s="82"/>
      <c r="K329" s="82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2.75" customHeight="1" x14ac:dyDescent="0.25">
      <c r="A330" s="122"/>
      <c r="B330" s="122"/>
      <c r="C330" s="100"/>
      <c r="D330" s="123"/>
      <c r="E330" s="122"/>
      <c r="F330" s="122"/>
      <c r="G330" s="124"/>
      <c r="H330" s="122"/>
      <c r="I330" s="82"/>
      <c r="J330" s="82"/>
      <c r="K330" s="82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2.75" customHeight="1" x14ac:dyDescent="0.25">
      <c r="A331" s="122"/>
      <c r="B331" s="122"/>
      <c r="C331" s="100"/>
      <c r="D331" s="123"/>
      <c r="E331" s="122"/>
      <c r="F331" s="122"/>
      <c r="G331" s="124"/>
      <c r="H331" s="122"/>
      <c r="I331" s="82"/>
      <c r="J331" s="82"/>
      <c r="K331" s="82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2.75" customHeight="1" x14ac:dyDescent="0.25">
      <c r="A332" s="122"/>
      <c r="B332" s="122"/>
      <c r="C332" s="100"/>
      <c r="D332" s="123"/>
      <c r="E332" s="122"/>
      <c r="F332" s="122"/>
      <c r="G332" s="124"/>
      <c r="H332" s="122"/>
      <c r="I332" s="82"/>
      <c r="J332" s="82"/>
      <c r="K332" s="82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2.75" customHeight="1" x14ac:dyDescent="0.25">
      <c r="A333" s="122"/>
      <c r="B333" s="122"/>
      <c r="C333" s="100"/>
      <c r="D333" s="123"/>
      <c r="E333" s="122"/>
      <c r="F333" s="122"/>
      <c r="G333" s="124"/>
      <c r="H333" s="122"/>
      <c r="I333" s="82"/>
      <c r="J333" s="82"/>
      <c r="K333" s="82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2.75" customHeight="1" x14ac:dyDescent="0.25">
      <c r="A334" s="122"/>
      <c r="B334" s="122"/>
      <c r="C334" s="100"/>
      <c r="D334" s="123"/>
      <c r="E334" s="122"/>
      <c r="F334" s="122"/>
      <c r="G334" s="124"/>
      <c r="H334" s="122"/>
      <c r="I334" s="82"/>
      <c r="J334" s="82"/>
      <c r="K334" s="82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2.75" customHeight="1" x14ac:dyDescent="0.25">
      <c r="A335" s="122"/>
      <c r="B335" s="122"/>
      <c r="C335" s="100"/>
      <c r="D335" s="123"/>
      <c r="E335" s="122"/>
      <c r="F335" s="122"/>
      <c r="G335" s="124"/>
      <c r="H335" s="122"/>
      <c r="I335" s="82"/>
      <c r="J335" s="82"/>
      <c r="K335" s="82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2.75" customHeight="1" x14ac:dyDescent="0.25">
      <c r="A336" s="122"/>
      <c r="B336" s="122"/>
      <c r="C336" s="100"/>
      <c r="D336" s="123"/>
      <c r="E336" s="122"/>
      <c r="F336" s="122"/>
      <c r="G336" s="124"/>
      <c r="H336" s="122"/>
      <c r="I336" s="82"/>
      <c r="J336" s="82"/>
      <c r="K336" s="82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2.75" customHeight="1" x14ac:dyDescent="0.25">
      <c r="A337" s="122"/>
      <c r="B337" s="122"/>
      <c r="C337" s="100"/>
      <c r="D337" s="123"/>
      <c r="E337" s="122"/>
      <c r="F337" s="122"/>
      <c r="G337" s="124"/>
      <c r="H337" s="122"/>
      <c r="I337" s="82"/>
      <c r="J337" s="82"/>
      <c r="K337" s="82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2.75" customHeight="1" x14ac:dyDescent="0.25">
      <c r="A338" s="122"/>
      <c r="B338" s="122"/>
      <c r="C338" s="100"/>
      <c r="D338" s="123"/>
      <c r="E338" s="122"/>
      <c r="F338" s="122"/>
      <c r="G338" s="124"/>
      <c r="H338" s="122"/>
      <c r="I338" s="82"/>
      <c r="J338" s="82"/>
      <c r="K338" s="82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2.75" customHeight="1" x14ac:dyDescent="0.25">
      <c r="A339" s="122"/>
      <c r="B339" s="122"/>
      <c r="C339" s="100"/>
      <c r="D339" s="123"/>
      <c r="E339" s="122"/>
      <c r="F339" s="122"/>
      <c r="G339" s="124"/>
      <c r="H339" s="122"/>
      <c r="I339" s="82"/>
      <c r="J339" s="82"/>
      <c r="K339" s="82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2.75" customHeight="1" x14ac:dyDescent="0.25">
      <c r="A340" s="122"/>
      <c r="B340" s="122"/>
      <c r="C340" s="100"/>
      <c r="D340" s="123"/>
      <c r="E340" s="122"/>
      <c r="F340" s="122"/>
      <c r="G340" s="124"/>
      <c r="H340" s="122"/>
      <c r="I340" s="82"/>
      <c r="J340" s="82"/>
      <c r="K340" s="82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2.75" customHeight="1" x14ac:dyDescent="0.25">
      <c r="A341" s="122"/>
      <c r="B341" s="122"/>
      <c r="C341" s="100"/>
      <c r="D341" s="123"/>
      <c r="E341" s="122"/>
      <c r="F341" s="122"/>
      <c r="G341" s="124"/>
      <c r="H341" s="122"/>
      <c r="I341" s="82"/>
      <c r="J341" s="82"/>
      <c r="K341" s="82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2.75" customHeight="1" x14ac:dyDescent="0.25">
      <c r="A342" s="122"/>
      <c r="B342" s="122"/>
      <c r="C342" s="100"/>
      <c r="D342" s="123"/>
      <c r="E342" s="122"/>
      <c r="F342" s="122"/>
      <c r="G342" s="124"/>
      <c r="H342" s="122"/>
      <c r="I342" s="82"/>
      <c r="J342" s="82"/>
      <c r="K342" s="82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2.75" customHeight="1" x14ac:dyDescent="0.25">
      <c r="A343" s="122"/>
      <c r="B343" s="122"/>
      <c r="C343" s="100"/>
      <c r="D343" s="123"/>
      <c r="E343" s="122"/>
      <c r="F343" s="122"/>
      <c r="G343" s="124"/>
      <c r="H343" s="122"/>
      <c r="I343" s="82"/>
      <c r="J343" s="82"/>
      <c r="K343" s="82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2.75" customHeight="1" x14ac:dyDescent="0.25">
      <c r="A344" s="122"/>
      <c r="B344" s="122"/>
      <c r="C344" s="100"/>
      <c r="D344" s="123"/>
      <c r="E344" s="122"/>
      <c r="F344" s="122"/>
      <c r="G344" s="124"/>
      <c r="H344" s="122"/>
      <c r="I344" s="82"/>
      <c r="J344" s="82"/>
      <c r="K344" s="82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2.75" customHeight="1" x14ac:dyDescent="0.25">
      <c r="A345" s="122"/>
      <c r="B345" s="122"/>
      <c r="C345" s="100"/>
      <c r="D345" s="123"/>
      <c r="E345" s="122"/>
      <c r="F345" s="122"/>
      <c r="G345" s="124"/>
      <c r="H345" s="122"/>
      <c r="I345" s="82"/>
      <c r="J345" s="82"/>
      <c r="K345" s="82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2.75" customHeight="1" x14ac:dyDescent="0.25">
      <c r="A346" s="122"/>
      <c r="B346" s="122"/>
      <c r="C346" s="100"/>
      <c r="D346" s="123"/>
      <c r="E346" s="122"/>
      <c r="F346" s="122"/>
      <c r="G346" s="124"/>
      <c r="H346" s="122"/>
      <c r="I346" s="82"/>
      <c r="J346" s="82"/>
      <c r="K346" s="82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2.75" customHeight="1" x14ac:dyDescent="0.25">
      <c r="A347" s="122"/>
      <c r="B347" s="122"/>
      <c r="C347" s="100"/>
      <c r="D347" s="123"/>
      <c r="E347" s="122"/>
      <c r="F347" s="122"/>
      <c r="G347" s="124"/>
      <c r="H347" s="122"/>
      <c r="I347" s="82"/>
      <c r="J347" s="82"/>
      <c r="K347" s="82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2.75" customHeight="1" x14ac:dyDescent="0.25">
      <c r="A348" s="122"/>
      <c r="B348" s="122"/>
      <c r="C348" s="100"/>
      <c r="D348" s="123"/>
      <c r="E348" s="122"/>
      <c r="F348" s="122"/>
      <c r="G348" s="124"/>
      <c r="H348" s="122"/>
      <c r="I348" s="82"/>
      <c r="J348" s="82"/>
      <c r="K348" s="82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2.75" customHeight="1" x14ac:dyDescent="0.25">
      <c r="A349" s="122"/>
      <c r="B349" s="122"/>
      <c r="C349" s="100"/>
      <c r="D349" s="123"/>
      <c r="E349" s="122"/>
      <c r="F349" s="122"/>
      <c r="G349" s="124"/>
      <c r="H349" s="122"/>
      <c r="I349" s="82"/>
      <c r="J349" s="82"/>
      <c r="K349" s="82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2.75" customHeight="1" x14ac:dyDescent="0.25">
      <c r="A350" s="122"/>
      <c r="B350" s="122"/>
      <c r="C350" s="100"/>
      <c r="D350" s="123"/>
      <c r="E350" s="122"/>
      <c r="F350" s="122"/>
      <c r="G350" s="124"/>
      <c r="H350" s="122"/>
      <c r="I350" s="82"/>
      <c r="J350" s="82"/>
      <c r="K350" s="82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2.75" customHeight="1" x14ac:dyDescent="0.25">
      <c r="A351" s="122"/>
      <c r="B351" s="122"/>
      <c r="C351" s="100"/>
      <c r="D351" s="123"/>
      <c r="E351" s="122"/>
      <c r="F351" s="122"/>
      <c r="G351" s="124"/>
      <c r="H351" s="122"/>
      <c r="I351" s="82"/>
      <c r="J351" s="82"/>
      <c r="K351" s="82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2.75" customHeight="1" x14ac:dyDescent="0.25">
      <c r="A352" s="122"/>
      <c r="B352" s="122"/>
      <c r="C352" s="100"/>
      <c r="D352" s="123"/>
      <c r="E352" s="122"/>
      <c r="F352" s="122"/>
      <c r="G352" s="124"/>
      <c r="H352" s="122"/>
      <c r="I352" s="82"/>
      <c r="J352" s="82"/>
      <c r="K352" s="82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2.75" customHeight="1" x14ac:dyDescent="0.25">
      <c r="A353" s="122"/>
      <c r="B353" s="122"/>
      <c r="C353" s="100"/>
      <c r="D353" s="123"/>
      <c r="E353" s="122"/>
      <c r="F353" s="122"/>
      <c r="G353" s="124"/>
      <c r="H353" s="122"/>
      <c r="I353" s="82"/>
      <c r="J353" s="82"/>
      <c r="K353" s="82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2.75" customHeight="1" x14ac:dyDescent="0.25">
      <c r="A354" s="122"/>
      <c r="B354" s="122"/>
      <c r="C354" s="100"/>
      <c r="D354" s="123"/>
      <c r="E354" s="122"/>
      <c r="F354" s="122"/>
      <c r="G354" s="124"/>
      <c r="H354" s="122"/>
      <c r="I354" s="82"/>
      <c r="J354" s="82"/>
      <c r="K354" s="82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2.75" customHeight="1" x14ac:dyDescent="0.25">
      <c r="A355" s="122"/>
      <c r="B355" s="122"/>
      <c r="C355" s="100"/>
      <c r="D355" s="123"/>
      <c r="E355" s="122"/>
      <c r="F355" s="122"/>
      <c r="G355" s="124"/>
      <c r="H355" s="122"/>
      <c r="I355" s="82"/>
      <c r="J355" s="82"/>
      <c r="K355" s="82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2.75" customHeight="1" x14ac:dyDescent="0.25">
      <c r="A356" s="122"/>
      <c r="B356" s="122"/>
      <c r="C356" s="100"/>
      <c r="D356" s="123"/>
      <c r="E356" s="122"/>
      <c r="F356" s="122"/>
      <c r="G356" s="124"/>
      <c r="H356" s="122"/>
      <c r="I356" s="82"/>
      <c r="J356" s="82"/>
      <c r="K356" s="82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2.75" customHeight="1" x14ac:dyDescent="0.25">
      <c r="A357" s="122"/>
      <c r="B357" s="122"/>
      <c r="C357" s="100"/>
      <c r="D357" s="123"/>
      <c r="E357" s="122"/>
      <c r="F357" s="122"/>
      <c r="G357" s="124"/>
      <c r="H357" s="122"/>
      <c r="I357" s="82"/>
      <c r="J357" s="82"/>
      <c r="K357" s="82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2.75" customHeight="1" x14ac:dyDescent="0.25">
      <c r="A358" s="122"/>
      <c r="B358" s="122"/>
      <c r="C358" s="100"/>
      <c r="D358" s="123"/>
      <c r="E358" s="122"/>
      <c r="F358" s="122"/>
      <c r="G358" s="124"/>
      <c r="H358" s="122"/>
      <c r="I358" s="82"/>
      <c r="J358" s="82"/>
      <c r="K358" s="82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2.75" customHeight="1" x14ac:dyDescent="0.25">
      <c r="A359" s="122"/>
      <c r="B359" s="122"/>
      <c r="C359" s="100"/>
      <c r="D359" s="123"/>
      <c r="E359" s="122"/>
      <c r="F359" s="122"/>
      <c r="G359" s="124"/>
      <c r="H359" s="122"/>
      <c r="I359" s="82"/>
      <c r="J359" s="82"/>
      <c r="K359" s="82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2.75" customHeight="1" x14ac:dyDescent="0.25">
      <c r="A360" s="122"/>
      <c r="B360" s="122"/>
      <c r="C360" s="100"/>
      <c r="D360" s="123"/>
      <c r="E360" s="122"/>
      <c r="F360" s="122"/>
      <c r="G360" s="124"/>
      <c r="H360" s="122"/>
      <c r="I360" s="82"/>
      <c r="J360" s="82"/>
      <c r="K360" s="82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2.75" customHeight="1" x14ac:dyDescent="0.25">
      <c r="A361" s="122"/>
      <c r="B361" s="122"/>
      <c r="C361" s="100"/>
      <c r="D361" s="123"/>
      <c r="E361" s="122"/>
      <c r="F361" s="122"/>
      <c r="G361" s="124"/>
      <c r="H361" s="122"/>
      <c r="I361" s="82"/>
      <c r="J361" s="82"/>
      <c r="K361" s="82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2.75" customHeight="1" x14ac:dyDescent="0.25">
      <c r="A362" s="122"/>
      <c r="B362" s="122"/>
      <c r="C362" s="100"/>
      <c r="D362" s="123"/>
      <c r="E362" s="122"/>
      <c r="F362" s="122"/>
      <c r="G362" s="124"/>
      <c r="H362" s="122"/>
      <c r="I362" s="82"/>
      <c r="J362" s="82"/>
      <c r="K362" s="82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2.75" customHeight="1" x14ac:dyDescent="0.25">
      <c r="A363" s="122"/>
      <c r="B363" s="122"/>
      <c r="C363" s="100"/>
      <c r="D363" s="123"/>
      <c r="E363" s="122"/>
      <c r="F363" s="122"/>
      <c r="G363" s="124"/>
      <c r="H363" s="122"/>
      <c r="I363" s="82"/>
      <c r="J363" s="82"/>
      <c r="K363" s="82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2.75" customHeight="1" x14ac:dyDescent="0.25">
      <c r="A364" s="122"/>
      <c r="B364" s="122"/>
      <c r="C364" s="100"/>
      <c r="D364" s="123"/>
      <c r="E364" s="122"/>
      <c r="F364" s="122"/>
      <c r="G364" s="124"/>
      <c r="H364" s="122"/>
      <c r="I364" s="82"/>
      <c r="J364" s="82"/>
      <c r="K364" s="82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2.75" customHeight="1" x14ac:dyDescent="0.25">
      <c r="A365" s="122"/>
      <c r="B365" s="122"/>
      <c r="C365" s="100"/>
      <c r="D365" s="123"/>
      <c r="E365" s="122"/>
      <c r="F365" s="122"/>
      <c r="G365" s="124"/>
      <c r="H365" s="122"/>
      <c r="I365" s="82"/>
      <c r="J365" s="82"/>
      <c r="K365" s="82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2.75" customHeight="1" x14ac:dyDescent="0.25">
      <c r="A366" s="122"/>
      <c r="B366" s="122"/>
      <c r="C366" s="100"/>
      <c r="D366" s="123"/>
      <c r="E366" s="122"/>
      <c r="F366" s="122"/>
      <c r="G366" s="124"/>
      <c r="H366" s="122"/>
      <c r="I366" s="82"/>
      <c r="J366" s="82"/>
      <c r="K366" s="82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2.75" customHeight="1" x14ac:dyDescent="0.25">
      <c r="A367" s="122"/>
      <c r="B367" s="122"/>
      <c r="C367" s="100"/>
      <c r="D367" s="123"/>
      <c r="E367" s="122"/>
      <c r="F367" s="122"/>
      <c r="G367" s="124"/>
      <c r="H367" s="122"/>
      <c r="I367" s="82"/>
      <c r="J367" s="82"/>
      <c r="K367" s="82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2.75" customHeight="1" x14ac:dyDescent="0.25">
      <c r="A368" s="122"/>
      <c r="B368" s="122"/>
      <c r="C368" s="100"/>
      <c r="D368" s="123"/>
      <c r="E368" s="122"/>
      <c r="F368" s="122"/>
      <c r="G368" s="124"/>
      <c r="H368" s="122"/>
      <c r="I368" s="82"/>
      <c r="J368" s="82"/>
      <c r="K368" s="82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2.75" customHeight="1" x14ac:dyDescent="0.25">
      <c r="A369" s="122"/>
      <c r="B369" s="122"/>
      <c r="C369" s="100"/>
      <c r="D369" s="123"/>
      <c r="E369" s="122"/>
      <c r="F369" s="122"/>
      <c r="G369" s="124"/>
      <c r="H369" s="122"/>
      <c r="I369" s="82"/>
      <c r="J369" s="82"/>
      <c r="K369" s="82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2.75" customHeight="1" x14ac:dyDescent="0.25">
      <c r="A370" s="122"/>
      <c r="B370" s="122"/>
      <c r="C370" s="100"/>
      <c r="D370" s="123"/>
      <c r="E370" s="122"/>
      <c r="F370" s="122"/>
      <c r="G370" s="124"/>
      <c r="H370" s="122"/>
      <c r="I370" s="82"/>
      <c r="J370" s="82"/>
      <c r="K370" s="82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2.75" customHeight="1" x14ac:dyDescent="0.25">
      <c r="A371" s="122"/>
      <c r="B371" s="122"/>
      <c r="C371" s="100"/>
      <c r="D371" s="123"/>
      <c r="E371" s="122"/>
      <c r="F371" s="122"/>
      <c r="G371" s="124"/>
      <c r="H371" s="122"/>
      <c r="I371" s="82"/>
      <c r="J371" s="82"/>
      <c r="K371" s="82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2.75" customHeight="1" x14ac:dyDescent="0.25">
      <c r="A372" s="122"/>
      <c r="B372" s="122"/>
      <c r="C372" s="100"/>
      <c r="D372" s="123"/>
      <c r="E372" s="122"/>
      <c r="F372" s="122"/>
      <c r="G372" s="124"/>
      <c r="H372" s="122"/>
      <c r="I372" s="82"/>
      <c r="J372" s="82"/>
      <c r="K372" s="82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2.75" customHeight="1" x14ac:dyDescent="0.25">
      <c r="A373" s="122"/>
      <c r="B373" s="122"/>
      <c r="C373" s="100"/>
      <c r="D373" s="123"/>
      <c r="E373" s="122"/>
      <c r="F373" s="122"/>
      <c r="G373" s="124"/>
      <c r="H373" s="122"/>
      <c r="I373" s="82"/>
      <c r="J373" s="82"/>
      <c r="K373" s="82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2.75" customHeight="1" x14ac:dyDescent="0.25">
      <c r="A374" s="122"/>
      <c r="B374" s="122"/>
      <c r="C374" s="100"/>
      <c r="D374" s="123"/>
      <c r="E374" s="122"/>
      <c r="F374" s="122"/>
      <c r="G374" s="124"/>
      <c r="H374" s="122"/>
      <c r="I374" s="82"/>
      <c r="J374" s="82"/>
      <c r="K374" s="82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2.75" customHeight="1" x14ac:dyDescent="0.25">
      <c r="A375" s="122"/>
      <c r="B375" s="122"/>
      <c r="C375" s="100"/>
      <c r="D375" s="123"/>
      <c r="E375" s="122"/>
      <c r="F375" s="122"/>
      <c r="G375" s="124"/>
      <c r="H375" s="122"/>
      <c r="I375" s="82"/>
      <c r="J375" s="82"/>
      <c r="K375" s="82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2.75" customHeight="1" x14ac:dyDescent="0.25">
      <c r="A376" s="122"/>
      <c r="B376" s="122"/>
      <c r="C376" s="100"/>
      <c r="D376" s="123"/>
      <c r="E376" s="122"/>
      <c r="F376" s="122"/>
      <c r="G376" s="124"/>
      <c r="H376" s="122"/>
      <c r="I376" s="82"/>
      <c r="J376" s="82"/>
      <c r="K376" s="82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2.75" customHeight="1" x14ac:dyDescent="0.25">
      <c r="A377" s="122"/>
      <c r="B377" s="122"/>
      <c r="C377" s="100"/>
      <c r="D377" s="123"/>
      <c r="E377" s="122"/>
      <c r="F377" s="122"/>
      <c r="G377" s="124"/>
      <c r="H377" s="122"/>
      <c r="I377" s="82"/>
      <c r="J377" s="82"/>
      <c r="K377" s="82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2.75" customHeight="1" x14ac:dyDescent="0.25">
      <c r="A378" s="122"/>
      <c r="B378" s="122"/>
      <c r="C378" s="100"/>
      <c r="D378" s="123"/>
      <c r="E378" s="122"/>
      <c r="F378" s="122"/>
      <c r="G378" s="124"/>
      <c r="H378" s="122"/>
      <c r="I378" s="82"/>
      <c r="J378" s="82"/>
      <c r="K378" s="82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2.75" customHeight="1" x14ac:dyDescent="0.25">
      <c r="A379" s="122"/>
      <c r="B379" s="122"/>
      <c r="C379" s="100"/>
      <c r="D379" s="123"/>
      <c r="E379" s="122"/>
      <c r="F379" s="122"/>
      <c r="G379" s="124"/>
      <c r="H379" s="122"/>
      <c r="I379" s="82"/>
      <c r="J379" s="82"/>
      <c r="K379" s="82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2.75" customHeight="1" x14ac:dyDescent="0.25">
      <c r="A380" s="122"/>
      <c r="B380" s="122"/>
      <c r="C380" s="100"/>
      <c r="D380" s="123"/>
      <c r="E380" s="122"/>
      <c r="F380" s="122"/>
      <c r="G380" s="124"/>
      <c r="H380" s="122"/>
      <c r="I380" s="82"/>
      <c r="J380" s="82"/>
      <c r="K380" s="82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2.75" customHeight="1" x14ac:dyDescent="0.25">
      <c r="A381" s="122"/>
      <c r="B381" s="122"/>
      <c r="C381" s="100"/>
      <c r="D381" s="123"/>
      <c r="E381" s="122"/>
      <c r="F381" s="122"/>
      <c r="G381" s="124"/>
      <c r="H381" s="122"/>
      <c r="I381" s="82"/>
      <c r="J381" s="82"/>
      <c r="K381" s="82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2.75" customHeight="1" x14ac:dyDescent="0.25">
      <c r="A382" s="122"/>
      <c r="B382" s="122"/>
      <c r="C382" s="100"/>
      <c r="D382" s="123"/>
      <c r="E382" s="122"/>
      <c r="F382" s="122"/>
      <c r="G382" s="124"/>
      <c r="H382" s="122"/>
      <c r="I382" s="82"/>
      <c r="J382" s="82"/>
      <c r="K382" s="82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2.75" customHeight="1" x14ac:dyDescent="0.25">
      <c r="A383" s="122"/>
      <c r="B383" s="122"/>
      <c r="C383" s="100"/>
      <c r="D383" s="123"/>
      <c r="E383" s="122"/>
      <c r="F383" s="122"/>
      <c r="G383" s="124"/>
      <c r="H383" s="122"/>
      <c r="I383" s="82"/>
      <c r="J383" s="82"/>
      <c r="K383" s="82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2.75" customHeight="1" x14ac:dyDescent="0.25">
      <c r="A384" s="122"/>
      <c r="B384" s="122"/>
      <c r="C384" s="100"/>
      <c r="D384" s="123"/>
      <c r="E384" s="122"/>
      <c r="F384" s="122"/>
      <c r="G384" s="124"/>
      <c r="H384" s="122"/>
      <c r="I384" s="82"/>
      <c r="J384" s="82"/>
      <c r="K384" s="82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2.75" customHeight="1" x14ac:dyDescent="0.25">
      <c r="A385" s="122"/>
      <c r="B385" s="122"/>
      <c r="C385" s="100"/>
      <c r="D385" s="123"/>
      <c r="E385" s="122"/>
      <c r="F385" s="122"/>
      <c r="G385" s="124"/>
      <c r="H385" s="122"/>
      <c r="I385" s="82"/>
      <c r="J385" s="82"/>
      <c r="K385" s="82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2.75" customHeight="1" x14ac:dyDescent="0.25">
      <c r="A386" s="122"/>
      <c r="B386" s="122"/>
      <c r="C386" s="100"/>
      <c r="D386" s="123"/>
      <c r="E386" s="122"/>
      <c r="F386" s="122"/>
      <c r="G386" s="124"/>
      <c r="H386" s="122"/>
      <c r="I386" s="82"/>
      <c r="J386" s="82"/>
      <c r="K386" s="82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2.75" customHeight="1" x14ac:dyDescent="0.25">
      <c r="A387" s="122"/>
      <c r="B387" s="122"/>
      <c r="C387" s="100"/>
      <c r="D387" s="123"/>
      <c r="E387" s="122"/>
      <c r="F387" s="122"/>
      <c r="G387" s="124"/>
      <c r="H387" s="122"/>
      <c r="I387" s="82"/>
      <c r="J387" s="82"/>
      <c r="K387" s="82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2.75" customHeight="1" x14ac:dyDescent="0.25">
      <c r="A388" s="122"/>
      <c r="B388" s="122"/>
      <c r="C388" s="100"/>
      <c r="D388" s="123"/>
      <c r="E388" s="122"/>
      <c r="F388" s="122"/>
      <c r="G388" s="124"/>
      <c r="H388" s="122"/>
      <c r="I388" s="82"/>
      <c r="J388" s="82"/>
      <c r="K388" s="82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2.75" customHeight="1" x14ac:dyDescent="0.25">
      <c r="A389" s="122"/>
      <c r="B389" s="122"/>
      <c r="C389" s="100"/>
      <c r="D389" s="123"/>
      <c r="E389" s="122"/>
      <c r="F389" s="122"/>
      <c r="G389" s="124"/>
      <c r="H389" s="122"/>
      <c r="I389" s="82"/>
      <c r="J389" s="82"/>
      <c r="K389" s="82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2.75" customHeight="1" x14ac:dyDescent="0.25">
      <c r="A390" s="122"/>
      <c r="B390" s="122"/>
      <c r="C390" s="100"/>
      <c r="D390" s="123"/>
      <c r="E390" s="122"/>
      <c r="F390" s="122"/>
      <c r="G390" s="124"/>
      <c r="H390" s="122"/>
      <c r="I390" s="82"/>
      <c r="J390" s="82"/>
      <c r="K390" s="82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2.75" customHeight="1" x14ac:dyDescent="0.25">
      <c r="A391" s="122"/>
      <c r="B391" s="122"/>
      <c r="C391" s="100"/>
      <c r="D391" s="123"/>
      <c r="E391" s="122"/>
      <c r="F391" s="122"/>
      <c r="G391" s="124"/>
      <c r="H391" s="122"/>
      <c r="I391" s="82"/>
      <c r="J391" s="82"/>
      <c r="K391" s="82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2.75" customHeight="1" x14ac:dyDescent="0.25">
      <c r="A392" s="122"/>
      <c r="B392" s="122"/>
      <c r="C392" s="100"/>
      <c r="D392" s="123"/>
      <c r="E392" s="122"/>
      <c r="F392" s="122"/>
      <c r="G392" s="124"/>
      <c r="H392" s="122"/>
      <c r="I392" s="82"/>
      <c r="J392" s="82"/>
      <c r="K392" s="82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2.75" customHeight="1" x14ac:dyDescent="0.25">
      <c r="A393" s="122"/>
      <c r="B393" s="122"/>
      <c r="C393" s="100"/>
      <c r="D393" s="123"/>
      <c r="E393" s="122"/>
      <c r="F393" s="122"/>
      <c r="G393" s="124"/>
      <c r="H393" s="122"/>
      <c r="I393" s="82"/>
      <c r="J393" s="82"/>
      <c r="K393" s="82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2.75" customHeight="1" x14ac:dyDescent="0.25">
      <c r="A394" s="122"/>
      <c r="B394" s="122"/>
      <c r="C394" s="100"/>
      <c r="D394" s="123"/>
      <c r="E394" s="122"/>
      <c r="F394" s="122"/>
      <c r="G394" s="124"/>
      <c r="H394" s="122"/>
      <c r="I394" s="82"/>
      <c r="J394" s="82"/>
      <c r="K394" s="82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2.75" customHeight="1" x14ac:dyDescent="0.25">
      <c r="A395" s="122"/>
      <c r="B395" s="122"/>
      <c r="C395" s="100"/>
      <c r="D395" s="123"/>
      <c r="E395" s="122"/>
      <c r="F395" s="122"/>
      <c r="G395" s="124"/>
      <c r="H395" s="122"/>
      <c r="I395" s="82"/>
      <c r="J395" s="82"/>
      <c r="K395" s="82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2.75" customHeight="1" x14ac:dyDescent="0.25">
      <c r="A396" s="122"/>
      <c r="B396" s="122"/>
      <c r="C396" s="100"/>
      <c r="D396" s="123"/>
      <c r="E396" s="122"/>
      <c r="F396" s="122"/>
      <c r="G396" s="124"/>
      <c r="H396" s="122"/>
      <c r="I396" s="82"/>
      <c r="J396" s="82"/>
      <c r="K396" s="82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2.75" customHeight="1" x14ac:dyDescent="0.25">
      <c r="A397" s="122"/>
      <c r="B397" s="122"/>
      <c r="C397" s="100"/>
      <c r="D397" s="123"/>
      <c r="E397" s="122"/>
      <c r="F397" s="122"/>
      <c r="G397" s="124"/>
      <c r="H397" s="122"/>
      <c r="I397" s="82"/>
      <c r="J397" s="82"/>
      <c r="K397" s="82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2.75" customHeight="1" x14ac:dyDescent="0.25">
      <c r="A398" s="122"/>
      <c r="B398" s="122"/>
      <c r="C398" s="100"/>
      <c r="D398" s="123"/>
      <c r="E398" s="122"/>
      <c r="F398" s="122"/>
      <c r="G398" s="124"/>
      <c r="H398" s="122"/>
      <c r="I398" s="82"/>
      <c r="J398" s="82"/>
      <c r="K398" s="82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2.75" customHeight="1" x14ac:dyDescent="0.25">
      <c r="A399" s="122"/>
      <c r="B399" s="122"/>
      <c r="C399" s="100"/>
      <c r="D399" s="123"/>
      <c r="E399" s="122"/>
      <c r="F399" s="122"/>
      <c r="G399" s="124"/>
      <c r="H399" s="122"/>
      <c r="I399" s="82"/>
      <c r="J399" s="82"/>
      <c r="K399" s="82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2.75" customHeight="1" x14ac:dyDescent="0.25">
      <c r="A400" s="122"/>
      <c r="B400" s="122"/>
      <c r="C400" s="100"/>
      <c r="D400" s="123"/>
      <c r="E400" s="122"/>
      <c r="F400" s="122"/>
      <c r="G400" s="124"/>
      <c r="H400" s="122"/>
      <c r="I400" s="82"/>
      <c r="J400" s="82"/>
      <c r="K400" s="82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2.75" customHeight="1" x14ac:dyDescent="0.25">
      <c r="A401" s="122"/>
      <c r="B401" s="122"/>
      <c r="C401" s="100"/>
      <c r="D401" s="123"/>
      <c r="E401" s="122"/>
      <c r="F401" s="122"/>
      <c r="G401" s="124"/>
      <c r="H401" s="122"/>
      <c r="I401" s="82"/>
      <c r="J401" s="82"/>
      <c r="K401" s="82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2.75" customHeight="1" x14ac:dyDescent="0.25">
      <c r="A402" s="122"/>
      <c r="B402" s="122"/>
      <c r="C402" s="100"/>
      <c r="D402" s="123"/>
      <c r="E402" s="122"/>
      <c r="F402" s="122"/>
      <c r="G402" s="124"/>
      <c r="H402" s="122"/>
      <c r="I402" s="82"/>
      <c r="J402" s="82"/>
      <c r="K402" s="82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2.75" customHeight="1" x14ac:dyDescent="0.25">
      <c r="A403" s="122"/>
      <c r="B403" s="122"/>
      <c r="C403" s="100"/>
      <c r="D403" s="123"/>
      <c r="E403" s="122"/>
      <c r="F403" s="122"/>
      <c r="G403" s="124"/>
      <c r="H403" s="122"/>
      <c r="I403" s="82"/>
      <c r="J403" s="82"/>
      <c r="K403" s="82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2.75" customHeight="1" x14ac:dyDescent="0.25">
      <c r="A404" s="122"/>
      <c r="B404" s="122"/>
      <c r="C404" s="100"/>
      <c r="D404" s="123"/>
      <c r="E404" s="122"/>
      <c r="F404" s="122"/>
      <c r="G404" s="124"/>
      <c r="H404" s="122"/>
      <c r="I404" s="82"/>
      <c r="J404" s="82"/>
      <c r="K404" s="82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2.75" customHeight="1" x14ac:dyDescent="0.25">
      <c r="A405" s="122"/>
      <c r="B405" s="122"/>
      <c r="C405" s="100"/>
      <c r="D405" s="123"/>
      <c r="E405" s="122"/>
      <c r="F405" s="122"/>
      <c r="G405" s="124"/>
      <c r="H405" s="122"/>
      <c r="I405" s="82"/>
      <c r="J405" s="82"/>
      <c r="K405" s="82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2.75" customHeight="1" x14ac:dyDescent="0.25">
      <c r="A406" s="122"/>
      <c r="B406" s="122"/>
      <c r="C406" s="100"/>
      <c r="D406" s="123"/>
      <c r="E406" s="122"/>
      <c r="F406" s="122"/>
      <c r="G406" s="124"/>
      <c r="H406" s="122"/>
      <c r="I406" s="82"/>
      <c r="J406" s="82"/>
      <c r="K406" s="82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2.75" customHeight="1" x14ac:dyDescent="0.25">
      <c r="A407" s="122"/>
      <c r="B407" s="122"/>
      <c r="C407" s="100"/>
      <c r="D407" s="123"/>
      <c r="E407" s="122"/>
      <c r="F407" s="122"/>
      <c r="G407" s="124"/>
      <c r="H407" s="122"/>
      <c r="I407" s="82"/>
      <c r="J407" s="82"/>
      <c r="K407" s="82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2.75" customHeight="1" x14ac:dyDescent="0.25">
      <c r="A408" s="122"/>
      <c r="B408" s="122"/>
      <c r="C408" s="100"/>
      <c r="D408" s="123"/>
      <c r="E408" s="122"/>
      <c r="F408" s="122"/>
      <c r="G408" s="124"/>
      <c r="H408" s="122"/>
      <c r="I408" s="82"/>
      <c r="J408" s="82"/>
      <c r="K408" s="82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2.75" customHeight="1" x14ac:dyDescent="0.25">
      <c r="A409" s="122"/>
      <c r="B409" s="122"/>
      <c r="C409" s="100"/>
      <c r="D409" s="123"/>
      <c r="E409" s="122"/>
      <c r="F409" s="122"/>
      <c r="G409" s="124"/>
      <c r="H409" s="122"/>
      <c r="I409" s="82"/>
      <c r="J409" s="82"/>
      <c r="K409" s="82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2.75" customHeight="1" x14ac:dyDescent="0.25">
      <c r="A410" s="122"/>
      <c r="B410" s="122"/>
      <c r="C410" s="100"/>
      <c r="D410" s="123"/>
      <c r="E410" s="122"/>
      <c r="F410" s="122"/>
      <c r="G410" s="124"/>
      <c r="H410" s="122"/>
      <c r="I410" s="82"/>
      <c r="J410" s="82"/>
      <c r="K410" s="82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2.75" customHeight="1" x14ac:dyDescent="0.25">
      <c r="A411" s="122"/>
      <c r="B411" s="122"/>
      <c r="C411" s="100"/>
      <c r="D411" s="123"/>
      <c r="E411" s="122"/>
      <c r="F411" s="122"/>
      <c r="G411" s="124"/>
      <c r="H411" s="122"/>
      <c r="I411" s="82"/>
      <c r="J411" s="82"/>
      <c r="K411" s="82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2.75" customHeight="1" x14ac:dyDescent="0.25">
      <c r="A412" s="122"/>
      <c r="B412" s="122"/>
      <c r="C412" s="100"/>
      <c r="D412" s="123"/>
      <c r="E412" s="122"/>
      <c r="F412" s="122"/>
      <c r="G412" s="124"/>
      <c r="H412" s="122"/>
      <c r="I412" s="82"/>
      <c r="J412" s="82"/>
      <c r="K412" s="82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2.75" customHeight="1" x14ac:dyDescent="0.25">
      <c r="A413" s="122"/>
      <c r="B413" s="122"/>
      <c r="C413" s="100"/>
      <c r="D413" s="123"/>
      <c r="E413" s="122"/>
      <c r="F413" s="122"/>
      <c r="G413" s="124"/>
      <c r="H413" s="122"/>
      <c r="I413" s="82"/>
      <c r="J413" s="82"/>
      <c r="K413" s="82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2.75" customHeight="1" x14ac:dyDescent="0.25">
      <c r="A414" s="122"/>
      <c r="B414" s="122"/>
      <c r="C414" s="100"/>
      <c r="D414" s="123"/>
      <c r="E414" s="122"/>
      <c r="F414" s="122"/>
      <c r="G414" s="124"/>
      <c r="H414" s="122"/>
      <c r="I414" s="82"/>
      <c r="J414" s="82"/>
      <c r="K414" s="82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2.75" customHeight="1" x14ac:dyDescent="0.25">
      <c r="A415" s="122"/>
      <c r="B415" s="122"/>
      <c r="C415" s="100"/>
      <c r="D415" s="123"/>
      <c r="E415" s="122"/>
      <c r="F415" s="122"/>
      <c r="G415" s="124"/>
      <c r="H415" s="122"/>
      <c r="I415" s="82"/>
      <c r="J415" s="82"/>
      <c r="K415" s="82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2.75" customHeight="1" x14ac:dyDescent="0.25">
      <c r="A416" s="122"/>
      <c r="B416" s="122"/>
      <c r="C416" s="100"/>
      <c r="D416" s="123"/>
      <c r="E416" s="122"/>
      <c r="F416" s="122"/>
      <c r="G416" s="124"/>
      <c r="H416" s="122"/>
      <c r="I416" s="82"/>
      <c r="J416" s="82"/>
      <c r="K416" s="82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2.75" customHeight="1" x14ac:dyDescent="0.25">
      <c r="A417" s="122"/>
      <c r="B417" s="122"/>
      <c r="C417" s="100"/>
      <c r="D417" s="123"/>
      <c r="E417" s="122"/>
      <c r="F417" s="122"/>
      <c r="G417" s="124"/>
      <c r="H417" s="122"/>
      <c r="I417" s="82"/>
      <c r="J417" s="82"/>
      <c r="K417" s="82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2.75" customHeight="1" x14ac:dyDescent="0.25">
      <c r="A418" s="122"/>
      <c r="B418" s="122"/>
      <c r="C418" s="100"/>
      <c r="D418" s="123"/>
      <c r="E418" s="122"/>
      <c r="F418" s="122"/>
      <c r="G418" s="124"/>
      <c r="H418" s="122"/>
      <c r="I418" s="82"/>
      <c r="J418" s="82"/>
      <c r="K418" s="82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2.75" customHeight="1" x14ac:dyDescent="0.25">
      <c r="A419" s="122"/>
      <c r="B419" s="122"/>
      <c r="C419" s="100"/>
      <c r="D419" s="123"/>
      <c r="E419" s="122"/>
      <c r="F419" s="122"/>
      <c r="G419" s="124"/>
      <c r="H419" s="122"/>
      <c r="I419" s="82"/>
      <c r="J419" s="82"/>
      <c r="K419" s="82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2.75" customHeight="1" x14ac:dyDescent="0.25">
      <c r="A420" s="122"/>
      <c r="B420" s="122"/>
      <c r="C420" s="100"/>
      <c r="D420" s="123"/>
      <c r="E420" s="122"/>
      <c r="F420" s="122"/>
      <c r="G420" s="124"/>
      <c r="H420" s="122"/>
      <c r="I420" s="82"/>
      <c r="J420" s="82"/>
      <c r="K420" s="82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2.75" customHeight="1" x14ac:dyDescent="0.25">
      <c r="A421" s="122"/>
      <c r="B421" s="122"/>
      <c r="C421" s="100"/>
      <c r="D421" s="123"/>
      <c r="E421" s="122"/>
      <c r="F421" s="122"/>
      <c r="G421" s="124"/>
      <c r="H421" s="122"/>
      <c r="I421" s="82"/>
      <c r="J421" s="82"/>
      <c r="K421" s="82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2.75" customHeight="1" x14ac:dyDescent="0.25">
      <c r="A422" s="122"/>
      <c r="B422" s="122"/>
      <c r="C422" s="100"/>
      <c r="D422" s="123"/>
      <c r="E422" s="122"/>
      <c r="F422" s="122"/>
      <c r="G422" s="124"/>
      <c r="H422" s="122"/>
      <c r="I422" s="82"/>
      <c r="J422" s="82"/>
      <c r="K422" s="82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2.75" customHeight="1" x14ac:dyDescent="0.25">
      <c r="A423" s="122"/>
      <c r="B423" s="122"/>
      <c r="C423" s="100"/>
      <c r="D423" s="123"/>
      <c r="E423" s="122"/>
      <c r="F423" s="122"/>
      <c r="G423" s="124"/>
      <c r="H423" s="122"/>
      <c r="I423" s="82"/>
      <c r="J423" s="82"/>
      <c r="K423" s="82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2.75" customHeight="1" x14ac:dyDescent="0.25">
      <c r="A424" s="122"/>
      <c r="B424" s="122"/>
      <c r="C424" s="100"/>
      <c r="D424" s="123"/>
      <c r="E424" s="122"/>
      <c r="F424" s="122"/>
      <c r="G424" s="124"/>
      <c r="H424" s="122"/>
      <c r="I424" s="82"/>
      <c r="J424" s="82"/>
      <c r="K424" s="82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2.75" customHeight="1" x14ac:dyDescent="0.25">
      <c r="A425" s="122"/>
      <c r="B425" s="122"/>
      <c r="C425" s="100"/>
      <c r="D425" s="123"/>
      <c r="E425" s="122"/>
      <c r="F425" s="122"/>
      <c r="G425" s="124"/>
      <c r="H425" s="122"/>
      <c r="I425" s="82"/>
      <c r="J425" s="82"/>
      <c r="K425" s="82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2.75" customHeight="1" x14ac:dyDescent="0.25">
      <c r="A426" s="122"/>
      <c r="B426" s="122"/>
      <c r="C426" s="100"/>
      <c r="D426" s="123"/>
      <c r="E426" s="122"/>
      <c r="F426" s="122"/>
      <c r="G426" s="124"/>
      <c r="H426" s="122"/>
      <c r="I426" s="82"/>
      <c r="J426" s="82"/>
      <c r="K426" s="82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2.75" customHeight="1" x14ac:dyDescent="0.25">
      <c r="A427" s="122"/>
      <c r="B427" s="122"/>
      <c r="C427" s="100"/>
      <c r="D427" s="123"/>
      <c r="E427" s="122"/>
      <c r="F427" s="122"/>
      <c r="G427" s="124"/>
      <c r="H427" s="122"/>
      <c r="I427" s="82"/>
      <c r="J427" s="82"/>
      <c r="K427" s="82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2.75" customHeight="1" x14ac:dyDescent="0.25">
      <c r="A428" s="122"/>
      <c r="B428" s="122"/>
      <c r="C428" s="100"/>
      <c r="D428" s="123"/>
      <c r="E428" s="122"/>
      <c r="F428" s="122"/>
      <c r="G428" s="124"/>
      <c r="H428" s="122"/>
      <c r="I428" s="82"/>
      <c r="J428" s="82"/>
      <c r="K428" s="82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2.75" customHeight="1" x14ac:dyDescent="0.25">
      <c r="A429" s="122"/>
      <c r="B429" s="122"/>
      <c r="C429" s="100"/>
      <c r="D429" s="123"/>
      <c r="E429" s="122"/>
      <c r="F429" s="122"/>
      <c r="G429" s="124"/>
      <c r="H429" s="122"/>
      <c r="I429" s="82"/>
      <c r="J429" s="82"/>
      <c r="K429" s="82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2.75" customHeight="1" x14ac:dyDescent="0.25">
      <c r="A430" s="122"/>
      <c r="B430" s="122"/>
      <c r="C430" s="100"/>
      <c r="D430" s="123"/>
      <c r="E430" s="122"/>
      <c r="F430" s="122"/>
      <c r="G430" s="124"/>
      <c r="H430" s="122"/>
      <c r="I430" s="82"/>
      <c r="J430" s="82"/>
      <c r="K430" s="82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2.75" customHeight="1" x14ac:dyDescent="0.25">
      <c r="A431" s="122"/>
      <c r="B431" s="122"/>
      <c r="C431" s="100"/>
      <c r="D431" s="123"/>
      <c r="E431" s="122"/>
      <c r="F431" s="122"/>
      <c r="G431" s="124"/>
      <c r="H431" s="122"/>
      <c r="I431" s="82"/>
      <c r="J431" s="82"/>
      <c r="K431" s="82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2.75" customHeight="1" x14ac:dyDescent="0.25">
      <c r="A432" s="122"/>
      <c r="B432" s="122"/>
      <c r="C432" s="100"/>
      <c r="D432" s="123"/>
      <c r="E432" s="122"/>
      <c r="F432" s="122"/>
      <c r="G432" s="124"/>
      <c r="H432" s="122"/>
      <c r="I432" s="82"/>
      <c r="J432" s="82"/>
      <c r="K432" s="82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2.75" customHeight="1" x14ac:dyDescent="0.25">
      <c r="A433" s="122"/>
      <c r="B433" s="122"/>
      <c r="C433" s="100"/>
      <c r="D433" s="123"/>
      <c r="E433" s="122"/>
      <c r="F433" s="122"/>
      <c r="G433" s="124"/>
      <c r="H433" s="122"/>
      <c r="I433" s="82"/>
      <c r="J433" s="82"/>
      <c r="K433" s="82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2.75" customHeight="1" x14ac:dyDescent="0.25">
      <c r="A434" s="122"/>
      <c r="B434" s="122"/>
      <c r="C434" s="100"/>
      <c r="D434" s="123"/>
      <c r="E434" s="122"/>
      <c r="F434" s="122"/>
      <c r="G434" s="124"/>
      <c r="H434" s="122"/>
      <c r="I434" s="82"/>
      <c r="J434" s="82"/>
      <c r="K434" s="82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2.75" customHeight="1" x14ac:dyDescent="0.25">
      <c r="A435" s="122"/>
      <c r="B435" s="122"/>
      <c r="C435" s="100"/>
      <c r="D435" s="123"/>
      <c r="E435" s="122"/>
      <c r="F435" s="122"/>
      <c r="G435" s="124"/>
      <c r="H435" s="122"/>
      <c r="I435" s="82"/>
      <c r="J435" s="82"/>
      <c r="K435" s="82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2.75" customHeight="1" x14ac:dyDescent="0.25">
      <c r="A436" s="122"/>
      <c r="B436" s="122"/>
      <c r="C436" s="100"/>
      <c r="D436" s="123"/>
      <c r="E436" s="122"/>
      <c r="F436" s="122"/>
      <c r="G436" s="124"/>
      <c r="H436" s="122"/>
      <c r="I436" s="82"/>
      <c r="J436" s="82"/>
      <c r="K436" s="82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2.75" customHeight="1" x14ac:dyDescent="0.25">
      <c r="A437" s="122"/>
      <c r="B437" s="122"/>
      <c r="C437" s="100"/>
      <c r="D437" s="123"/>
      <c r="E437" s="122"/>
      <c r="F437" s="122"/>
      <c r="G437" s="124"/>
      <c r="H437" s="122"/>
      <c r="I437" s="82"/>
      <c r="J437" s="82"/>
      <c r="K437" s="82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2.75" customHeight="1" x14ac:dyDescent="0.25">
      <c r="A438" s="122"/>
      <c r="B438" s="122"/>
      <c r="C438" s="100"/>
      <c r="D438" s="123"/>
      <c r="E438" s="122"/>
      <c r="F438" s="122"/>
      <c r="G438" s="124"/>
      <c r="H438" s="122"/>
      <c r="I438" s="82"/>
      <c r="J438" s="82"/>
      <c r="K438" s="82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2.75" customHeight="1" x14ac:dyDescent="0.25">
      <c r="A439" s="122"/>
      <c r="B439" s="122"/>
      <c r="C439" s="100"/>
      <c r="D439" s="123"/>
      <c r="E439" s="122"/>
      <c r="F439" s="122"/>
      <c r="G439" s="124"/>
      <c r="H439" s="122"/>
      <c r="I439" s="82"/>
      <c r="J439" s="82"/>
      <c r="K439" s="82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2.75" customHeight="1" x14ac:dyDescent="0.25">
      <c r="A440" s="122"/>
      <c r="B440" s="122"/>
      <c r="C440" s="100"/>
      <c r="D440" s="123"/>
      <c r="E440" s="122"/>
      <c r="F440" s="122"/>
      <c r="G440" s="124"/>
      <c r="H440" s="122"/>
      <c r="I440" s="82"/>
      <c r="J440" s="82"/>
      <c r="K440" s="82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2.75" customHeight="1" x14ac:dyDescent="0.25">
      <c r="A441" s="122"/>
      <c r="B441" s="122"/>
      <c r="C441" s="100"/>
      <c r="D441" s="123"/>
      <c r="E441" s="122"/>
      <c r="F441" s="122"/>
      <c r="G441" s="124"/>
      <c r="H441" s="122"/>
      <c r="I441" s="82"/>
      <c r="J441" s="82"/>
      <c r="K441" s="82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2.75" customHeight="1" x14ac:dyDescent="0.25">
      <c r="A442" s="122"/>
      <c r="B442" s="122"/>
      <c r="C442" s="100"/>
      <c r="D442" s="123"/>
      <c r="E442" s="122"/>
      <c r="F442" s="122"/>
      <c r="G442" s="124"/>
      <c r="H442" s="122"/>
      <c r="I442" s="82"/>
      <c r="J442" s="82"/>
      <c r="K442" s="82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2.75" customHeight="1" x14ac:dyDescent="0.25">
      <c r="A443" s="122"/>
      <c r="B443" s="122"/>
      <c r="C443" s="100"/>
      <c r="D443" s="123"/>
      <c r="E443" s="122"/>
      <c r="F443" s="122"/>
      <c r="G443" s="124"/>
      <c r="H443" s="122"/>
      <c r="I443" s="82"/>
      <c r="J443" s="82"/>
      <c r="K443" s="82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2.75" customHeight="1" x14ac:dyDescent="0.25">
      <c r="A444" s="122"/>
      <c r="B444" s="122"/>
      <c r="C444" s="100"/>
      <c r="D444" s="123"/>
      <c r="E444" s="122"/>
      <c r="F444" s="122"/>
      <c r="G444" s="124"/>
      <c r="H444" s="122"/>
      <c r="I444" s="82"/>
      <c r="J444" s="82"/>
      <c r="K444" s="82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2.75" customHeight="1" x14ac:dyDescent="0.25">
      <c r="A445" s="122"/>
      <c r="B445" s="122"/>
      <c r="C445" s="100"/>
      <c r="D445" s="123"/>
      <c r="E445" s="122"/>
      <c r="F445" s="122"/>
      <c r="G445" s="124"/>
      <c r="H445" s="122"/>
      <c r="I445" s="82"/>
      <c r="J445" s="82"/>
      <c r="K445" s="82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2.75" customHeight="1" x14ac:dyDescent="0.25">
      <c r="A446" s="122"/>
      <c r="B446" s="122"/>
      <c r="C446" s="100"/>
      <c r="D446" s="123"/>
      <c r="E446" s="122"/>
      <c r="F446" s="122"/>
      <c r="G446" s="124"/>
      <c r="H446" s="122"/>
      <c r="I446" s="82"/>
      <c r="J446" s="82"/>
      <c r="K446" s="82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2.75" customHeight="1" x14ac:dyDescent="0.25">
      <c r="A447" s="122"/>
      <c r="B447" s="122"/>
      <c r="C447" s="100"/>
      <c r="D447" s="123"/>
      <c r="E447" s="122"/>
      <c r="F447" s="122"/>
      <c r="G447" s="124"/>
      <c r="H447" s="122"/>
      <c r="I447" s="82"/>
      <c r="J447" s="82"/>
      <c r="K447" s="82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2.75" customHeight="1" x14ac:dyDescent="0.25">
      <c r="A448" s="122"/>
      <c r="B448" s="122"/>
      <c r="C448" s="100"/>
      <c r="D448" s="123"/>
      <c r="E448" s="122"/>
      <c r="F448" s="122"/>
      <c r="G448" s="124"/>
      <c r="H448" s="122"/>
      <c r="I448" s="82"/>
      <c r="J448" s="82"/>
      <c r="K448" s="82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2.75" customHeight="1" x14ac:dyDescent="0.25">
      <c r="A449" s="122"/>
      <c r="B449" s="122"/>
      <c r="C449" s="100"/>
      <c r="D449" s="123"/>
      <c r="E449" s="122"/>
      <c r="F449" s="122"/>
      <c r="G449" s="124"/>
      <c r="H449" s="122"/>
      <c r="I449" s="82"/>
      <c r="J449" s="82"/>
      <c r="K449" s="82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2.75" customHeight="1" x14ac:dyDescent="0.25">
      <c r="A450" s="122"/>
      <c r="B450" s="122"/>
      <c r="C450" s="100"/>
      <c r="D450" s="123"/>
      <c r="E450" s="122"/>
      <c r="F450" s="122"/>
      <c r="G450" s="124"/>
      <c r="H450" s="122"/>
      <c r="I450" s="82"/>
      <c r="J450" s="82"/>
      <c r="K450" s="82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2.75" customHeight="1" x14ac:dyDescent="0.25">
      <c r="A451" s="122"/>
      <c r="B451" s="122"/>
      <c r="C451" s="100"/>
      <c r="D451" s="123"/>
      <c r="E451" s="122"/>
      <c r="F451" s="122"/>
      <c r="G451" s="124"/>
      <c r="H451" s="122"/>
      <c r="I451" s="82"/>
      <c r="J451" s="82"/>
      <c r="K451" s="82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2.75" customHeight="1" x14ac:dyDescent="0.25">
      <c r="A452" s="122"/>
      <c r="B452" s="122"/>
      <c r="C452" s="100"/>
      <c r="D452" s="123"/>
      <c r="E452" s="122"/>
      <c r="F452" s="122"/>
      <c r="G452" s="124"/>
      <c r="H452" s="122"/>
      <c r="I452" s="82"/>
      <c r="J452" s="82"/>
      <c r="K452" s="82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2.75" customHeight="1" x14ac:dyDescent="0.25">
      <c r="A453" s="122"/>
      <c r="B453" s="122"/>
      <c r="C453" s="100"/>
      <c r="D453" s="123"/>
      <c r="E453" s="122"/>
      <c r="F453" s="122"/>
      <c r="G453" s="124"/>
      <c r="H453" s="122"/>
      <c r="I453" s="82"/>
      <c r="J453" s="82"/>
      <c r="K453" s="82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2.75" customHeight="1" x14ac:dyDescent="0.25">
      <c r="A454" s="122"/>
      <c r="B454" s="122"/>
      <c r="C454" s="100"/>
      <c r="D454" s="123"/>
      <c r="E454" s="122"/>
      <c r="F454" s="122"/>
      <c r="G454" s="124"/>
      <c r="H454" s="122"/>
      <c r="I454" s="82"/>
      <c r="J454" s="82"/>
      <c r="K454" s="82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2.75" customHeight="1" x14ac:dyDescent="0.25">
      <c r="A455" s="122"/>
      <c r="B455" s="122"/>
      <c r="C455" s="100"/>
      <c r="D455" s="123"/>
      <c r="E455" s="122"/>
      <c r="F455" s="122"/>
      <c r="G455" s="124"/>
      <c r="H455" s="122"/>
      <c r="I455" s="82"/>
      <c r="J455" s="82"/>
      <c r="K455" s="82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2.75" customHeight="1" x14ac:dyDescent="0.25">
      <c r="A456" s="122"/>
      <c r="B456" s="122"/>
      <c r="C456" s="100"/>
      <c r="D456" s="123"/>
      <c r="E456" s="122"/>
      <c r="F456" s="122"/>
      <c r="G456" s="124"/>
      <c r="H456" s="122"/>
      <c r="I456" s="82"/>
      <c r="J456" s="82"/>
      <c r="K456" s="82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2.75" customHeight="1" x14ac:dyDescent="0.25">
      <c r="A457" s="122"/>
      <c r="B457" s="122"/>
      <c r="C457" s="100"/>
      <c r="D457" s="123"/>
      <c r="E457" s="122"/>
      <c r="F457" s="122"/>
      <c r="G457" s="124"/>
      <c r="H457" s="122"/>
      <c r="I457" s="82"/>
      <c r="J457" s="82"/>
      <c r="K457" s="82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2.75" customHeight="1" x14ac:dyDescent="0.25">
      <c r="A458" s="122"/>
      <c r="B458" s="122"/>
      <c r="C458" s="100"/>
      <c r="D458" s="123"/>
      <c r="E458" s="122"/>
      <c r="F458" s="122"/>
      <c r="G458" s="124"/>
      <c r="H458" s="122"/>
      <c r="I458" s="82"/>
      <c r="J458" s="82"/>
      <c r="K458" s="82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2.75" customHeight="1" x14ac:dyDescent="0.25">
      <c r="A459" s="122"/>
      <c r="B459" s="122"/>
      <c r="C459" s="100"/>
      <c r="D459" s="123"/>
      <c r="E459" s="122"/>
      <c r="F459" s="122"/>
      <c r="G459" s="124"/>
      <c r="H459" s="122"/>
      <c r="I459" s="82"/>
      <c r="J459" s="82"/>
      <c r="K459" s="82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2.75" customHeight="1" x14ac:dyDescent="0.25">
      <c r="A460" s="122"/>
      <c r="B460" s="122"/>
      <c r="C460" s="100"/>
      <c r="D460" s="123"/>
      <c r="E460" s="122"/>
      <c r="F460" s="122"/>
      <c r="G460" s="124"/>
      <c r="H460" s="122"/>
      <c r="I460" s="82"/>
      <c r="J460" s="82"/>
      <c r="K460" s="82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2.75" customHeight="1" x14ac:dyDescent="0.25">
      <c r="A461" s="122"/>
      <c r="B461" s="122"/>
      <c r="C461" s="100"/>
      <c r="D461" s="123"/>
      <c r="E461" s="122"/>
      <c r="F461" s="122"/>
      <c r="G461" s="124"/>
      <c r="H461" s="122"/>
      <c r="I461" s="82"/>
      <c r="J461" s="82"/>
      <c r="K461" s="82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2.75" customHeight="1" x14ac:dyDescent="0.25">
      <c r="A462" s="122"/>
      <c r="B462" s="122"/>
      <c r="C462" s="100"/>
      <c r="D462" s="123"/>
      <c r="E462" s="122"/>
      <c r="F462" s="122"/>
      <c r="G462" s="124"/>
      <c r="H462" s="122"/>
      <c r="I462" s="82"/>
      <c r="J462" s="82"/>
      <c r="K462" s="82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2.75" customHeight="1" x14ac:dyDescent="0.25">
      <c r="A463" s="122"/>
      <c r="B463" s="122"/>
      <c r="C463" s="100"/>
      <c r="D463" s="123"/>
      <c r="E463" s="122"/>
      <c r="F463" s="122"/>
      <c r="G463" s="124"/>
      <c r="H463" s="122"/>
      <c r="I463" s="82"/>
      <c r="J463" s="82"/>
      <c r="K463" s="82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2.75" customHeight="1" x14ac:dyDescent="0.25">
      <c r="A464" s="122"/>
      <c r="B464" s="122"/>
      <c r="C464" s="100"/>
      <c r="D464" s="123"/>
      <c r="E464" s="122"/>
      <c r="F464" s="122"/>
      <c r="G464" s="124"/>
      <c r="H464" s="122"/>
      <c r="I464" s="82"/>
      <c r="J464" s="82"/>
      <c r="K464" s="82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2.75" customHeight="1" x14ac:dyDescent="0.25">
      <c r="A465" s="122"/>
      <c r="B465" s="122"/>
      <c r="C465" s="100"/>
      <c r="D465" s="123"/>
      <c r="E465" s="122"/>
      <c r="F465" s="122"/>
      <c r="G465" s="124"/>
      <c r="H465" s="122"/>
      <c r="I465" s="82"/>
      <c r="J465" s="82"/>
      <c r="K465" s="82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2.75" customHeight="1" x14ac:dyDescent="0.25">
      <c r="A466" s="122"/>
      <c r="B466" s="122"/>
      <c r="C466" s="100"/>
      <c r="D466" s="123"/>
      <c r="E466" s="122"/>
      <c r="F466" s="122"/>
      <c r="G466" s="124"/>
      <c r="H466" s="122"/>
      <c r="I466" s="82"/>
      <c r="J466" s="82"/>
      <c r="K466" s="82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2.75" customHeight="1" x14ac:dyDescent="0.25">
      <c r="A467" s="122"/>
      <c r="B467" s="122"/>
      <c r="C467" s="100"/>
      <c r="D467" s="123"/>
      <c r="E467" s="122"/>
      <c r="F467" s="122"/>
      <c r="G467" s="124"/>
      <c r="H467" s="122"/>
      <c r="I467" s="82"/>
      <c r="J467" s="82"/>
      <c r="K467" s="82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2.75" customHeight="1" x14ac:dyDescent="0.25">
      <c r="A468" s="122"/>
      <c r="B468" s="122"/>
      <c r="C468" s="100"/>
      <c r="D468" s="123"/>
      <c r="E468" s="122"/>
      <c r="F468" s="122"/>
      <c r="G468" s="124"/>
      <c r="H468" s="122"/>
      <c r="I468" s="82"/>
      <c r="J468" s="82"/>
      <c r="K468" s="82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2.75" customHeight="1" x14ac:dyDescent="0.25">
      <c r="A469" s="122"/>
      <c r="B469" s="122"/>
      <c r="C469" s="100"/>
      <c r="D469" s="123"/>
      <c r="E469" s="122"/>
      <c r="F469" s="122"/>
      <c r="G469" s="124"/>
      <c r="H469" s="122"/>
      <c r="I469" s="82"/>
      <c r="J469" s="82"/>
      <c r="K469" s="82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2.75" customHeight="1" x14ac:dyDescent="0.25">
      <c r="A470" s="122"/>
      <c r="B470" s="122"/>
      <c r="C470" s="100"/>
      <c r="D470" s="123"/>
      <c r="E470" s="122"/>
      <c r="F470" s="122"/>
      <c r="G470" s="124"/>
      <c r="H470" s="122"/>
      <c r="I470" s="82"/>
      <c r="J470" s="82"/>
      <c r="K470" s="82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2.75" customHeight="1" x14ac:dyDescent="0.25">
      <c r="A471" s="122"/>
      <c r="B471" s="122"/>
      <c r="C471" s="100"/>
      <c r="D471" s="123"/>
      <c r="E471" s="122"/>
      <c r="F471" s="122"/>
      <c r="G471" s="124"/>
      <c r="H471" s="122"/>
      <c r="I471" s="82"/>
      <c r="J471" s="82"/>
      <c r="K471" s="82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2.75" customHeight="1" x14ac:dyDescent="0.25">
      <c r="A472" s="122"/>
      <c r="B472" s="122"/>
      <c r="C472" s="100"/>
      <c r="D472" s="123"/>
      <c r="E472" s="122"/>
      <c r="F472" s="122"/>
      <c r="G472" s="124"/>
      <c r="H472" s="122"/>
      <c r="I472" s="82"/>
      <c r="J472" s="82"/>
      <c r="K472" s="82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2.75" customHeight="1" x14ac:dyDescent="0.25">
      <c r="A473" s="122"/>
      <c r="B473" s="122"/>
      <c r="C473" s="100"/>
      <c r="D473" s="123"/>
      <c r="E473" s="122"/>
      <c r="F473" s="122"/>
      <c r="G473" s="124"/>
      <c r="H473" s="122"/>
      <c r="I473" s="82"/>
      <c r="J473" s="82"/>
      <c r="K473" s="82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2.75" customHeight="1" x14ac:dyDescent="0.25">
      <c r="A474" s="122"/>
      <c r="B474" s="122"/>
      <c r="C474" s="100"/>
      <c r="D474" s="123"/>
      <c r="E474" s="122"/>
      <c r="F474" s="122"/>
      <c r="G474" s="124"/>
      <c r="H474" s="122"/>
      <c r="I474" s="82"/>
      <c r="J474" s="82"/>
      <c r="K474" s="82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2.75" customHeight="1" x14ac:dyDescent="0.25">
      <c r="A475" s="122"/>
      <c r="B475" s="122"/>
      <c r="C475" s="100"/>
      <c r="D475" s="123"/>
      <c r="E475" s="122"/>
      <c r="F475" s="122"/>
      <c r="G475" s="124"/>
      <c r="H475" s="122"/>
      <c r="I475" s="82"/>
      <c r="J475" s="82"/>
      <c r="K475" s="82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2.75" customHeight="1" x14ac:dyDescent="0.25">
      <c r="A476" s="122"/>
      <c r="B476" s="122"/>
      <c r="C476" s="100"/>
      <c r="D476" s="123"/>
      <c r="E476" s="122"/>
      <c r="F476" s="122"/>
      <c r="G476" s="124"/>
      <c r="H476" s="122"/>
      <c r="I476" s="82"/>
      <c r="J476" s="82"/>
      <c r="K476" s="82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2.75" customHeight="1" x14ac:dyDescent="0.25">
      <c r="A477" s="122"/>
      <c r="B477" s="122"/>
      <c r="C477" s="100"/>
      <c r="D477" s="123"/>
      <c r="E477" s="122"/>
      <c r="F477" s="122"/>
      <c r="G477" s="124"/>
      <c r="H477" s="122"/>
      <c r="I477" s="82"/>
      <c r="J477" s="82"/>
      <c r="K477" s="82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2.75" customHeight="1" x14ac:dyDescent="0.25">
      <c r="A478" s="122"/>
      <c r="B478" s="122"/>
      <c r="C478" s="100"/>
      <c r="D478" s="123"/>
      <c r="E478" s="122"/>
      <c r="F478" s="122"/>
      <c r="G478" s="124"/>
      <c r="H478" s="122"/>
      <c r="I478" s="82"/>
      <c r="J478" s="82"/>
      <c r="K478" s="82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2.75" customHeight="1" x14ac:dyDescent="0.25">
      <c r="A479" s="122"/>
      <c r="B479" s="122"/>
      <c r="C479" s="100"/>
      <c r="D479" s="123"/>
      <c r="E479" s="122"/>
      <c r="F479" s="122"/>
      <c r="G479" s="124"/>
      <c r="H479" s="122"/>
      <c r="I479" s="82"/>
      <c r="J479" s="82"/>
      <c r="K479" s="82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2.75" customHeight="1" x14ac:dyDescent="0.25">
      <c r="A480" s="122"/>
      <c r="B480" s="122"/>
      <c r="C480" s="100"/>
      <c r="D480" s="123"/>
      <c r="E480" s="122"/>
      <c r="F480" s="122"/>
      <c r="G480" s="124"/>
      <c r="H480" s="122"/>
      <c r="I480" s="82"/>
      <c r="J480" s="82"/>
      <c r="K480" s="82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2.75" customHeight="1" x14ac:dyDescent="0.25">
      <c r="A481" s="122"/>
      <c r="B481" s="122"/>
      <c r="C481" s="100"/>
      <c r="D481" s="123"/>
      <c r="E481" s="122"/>
      <c r="F481" s="122"/>
      <c r="G481" s="124"/>
      <c r="H481" s="122"/>
      <c r="I481" s="82"/>
      <c r="J481" s="82"/>
      <c r="K481" s="82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2.75" customHeight="1" x14ac:dyDescent="0.25">
      <c r="A482" s="122"/>
      <c r="B482" s="122"/>
      <c r="C482" s="100"/>
      <c r="D482" s="123"/>
      <c r="E482" s="122"/>
      <c r="F482" s="122"/>
      <c r="G482" s="124"/>
      <c r="H482" s="122"/>
      <c r="I482" s="82"/>
      <c r="J482" s="82"/>
      <c r="K482" s="82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2.75" customHeight="1" x14ac:dyDescent="0.25">
      <c r="A483" s="122"/>
      <c r="B483" s="122"/>
      <c r="C483" s="100"/>
      <c r="D483" s="123"/>
      <c r="E483" s="122"/>
      <c r="F483" s="122"/>
      <c r="G483" s="124"/>
      <c r="H483" s="122"/>
      <c r="I483" s="82"/>
      <c r="J483" s="82"/>
      <c r="K483" s="82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2.75" customHeight="1" x14ac:dyDescent="0.25">
      <c r="A484" s="122"/>
      <c r="B484" s="122"/>
      <c r="C484" s="100"/>
      <c r="D484" s="123"/>
      <c r="E484" s="122"/>
      <c r="F484" s="122"/>
      <c r="G484" s="124"/>
      <c r="H484" s="122"/>
      <c r="I484" s="82"/>
      <c r="J484" s="82"/>
      <c r="K484" s="82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2.75" customHeight="1" x14ac:dyDescent="0.25">
      <c r="A485" s="122"/>
      <c r="B485" s="122"/>
      <c r="C485" s="100"/>
      <c r="D485" s="123"/>
      <c r="E485" s="122"/>
      <c r="F485" s="122"/>
      <c r="G485" s="124"/>
      <c r="H485" s="122"/>
      <c r="I485" s="82"/>
      <c r="J485" s="82"/>
      <c r="K485" s="82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2.75" customHeight="1" x14ac:dyDescent="0.25">
      <c r="A486" s="122"/>
      <c r="B486" s="122"/>
      <c r="C486" s="100"/>
      <c r="D486" s="123"/>
      <c r="E486" s="122"/>
      <c r="F486" s="122"/>
      <c r="G486" s="124"/>
      <c r="H486" s="122"/>
      <c r="I486" s="82"/>
      <c r="J486" s="82"/>
      <c r="K486" s="82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2.75" customHeight="1" x14ac:dyDescent="0.25">
      <c r="A487" s="122"/>
      <c r="B487" s="122"/>
      <c r="C487" s="100"/>
      <c r="D487" s="123"/>
      <c r="E487" s="122"/>
      <c r="F487" s="122"/>
      <c r="G487" s="124"/>
      <c r="H487" s="122"/>
      <c r="I487" s="82"/>
      <c r="J487" s="82"/>
      <c r="K487" s="82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2.75" customHeight="1" x14ac:dyDescent="0.25">
      <c r="A488" s="122"/>
      <c r="B488" s="122"/>
      <c r="C488" s="100"/>
      <c r="D488" s="123"/>
      <c r="E488" s="122"/>
      <c r="F488" s="122"/>
      <c r="G488" s="124"/>
      <c r="H488" s="122"/>
      <c r="I488" s="82"/>
      <c r="J488" s="82"/>
      <c r="K488" s="82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2.75" customHeight="1" x14ac:dyDescent="0.25">
      <c r="A489" s="122"/>
      <c r="B489" s="122"/>
      <c r="C489" s="100"/>
      <c r="D489" s="123"/>
      <c r="E489" s="122"/>
      <c r="F489" s="122"/>
      <c r="G489" s="124"/>
      <c r="H489" s="122"/>
      <c r="I489" s="82"/>
      <c r="J489" s="82"/>
      <c r="K489" s="82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2.75" customHeight="1" x14ac:dyDescent="0.25">
      <c r="A490" s="122"/>
      <c r="B490" s="122"/>
      <c r="C490" s="100"/>
      <c r="D490" s="123"/>
      <c r="E490" s="122"/>
      <c r="F490" s="122"/>
      <c r="G490" s="124"/>
      <c r="H490" s="122"/>
      <c r="I490" s="82"/>
      <c r="J490" s="82"/>
      <c r="K490" s="82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2.75" customHeight="1" x14ac:dyDescent="0.25">
      <c r="A491" s="122"/>
      <c r="B491" s="122"/>
      <c r="C491" s="100"/>
      <c r="D491" s="123"/>
      <c r="E491" s="122"/>
      <c r="F491" s="122"/>
      <c r="G491" s="124"/>
      <c r="H491" s="122"/>
      <c r="I491" s="82"/>
      <c r="J491" s="82"/>
      <c r="K491" s="82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2.75" customHeight="1" x14ac:dyDescent="0.25">
      <c r="A492" s="122"/>
      <c r="B492" s="122"/>
      <c r="C492" s="100"/>
      <c r="D492" s="123"/>
      <c r="E492" s="122"/>
      <c r="F492" s="122"/>
      <c r="G492" s="124"/>
      <c r="H492" s="122"/>
      <c r="I492" s="82"/>
      <c r="J492" s="82"/>
      <c r="K492" s="82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2.75" customHeight="1" x14ac:dyDescent="0.25">
      <c r="A493" s="122"/>
      <c r="B493" s="122"/>
      <c r="C493" s="100"/>
      <c r="D493" s="123"/>
      <c r="E493" s="122"/>
      <c r="F493" s="122"/>
      <c r="G493" s="124"/>
      <c r="H493" s="122"/>
      <c r="I493" s="82"/>
      <c r="J493" s="82"/>
      <c r="K493" s="82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2.75" customHeight="1" x14ac:dyDescent="0.25">
      <c r="A494" s="122"/>
      <c r="B494" s="122"/>
      <c r="C494" s="100"/>
      <c r="D494" s="123"/>
      <c r="E494" s="122"/>
      <c r="F494" s="122"/>
      <c r="G494" s="124"/>
      <c r="H494" s="122"/>
      <c r="I494" s="82"/>
      <c r="J494" s="82"/>
      <c r="K494" s="82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2.75" customHeight="1" x14ac:dyDescent="0.25">
      <c r="A495" s="122"/>
      <c r="B495" s="122"/>
      <c r="C495" s="100"/>
      <c r="D495" s="123"/>
      <c r="E495" s="122"/>
      <c r="F495" s="122"/>
      <c r="G495" s="124"/>
      <c r="H495" s="122"/>
      <c r="I495" s="82"/>
      <c r="J495" s="82"/>
      <c r="K495" s="82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2.75" customHeight="1" x14ac:dyDescent="0.25">
      <c r="A496" s="122"/>
      <c r="B496" s="122"/>
      <c r="C496" s="100"/>
      <c r="D496" s="123"/>
      <c r="E496" s="122"/>
      <c r="F496" s="122"/>
      <c r="G496" s="124"/>
      <c r="H496" s="122"/>
      <c r="I496" s="82"/>
      <c r="J496" s="82"/>
      <c r="K496" s="82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2.75" customHeight="1" x14ac:dyDescent="0.25">
      <c r="A497" s="122"/>
      <c r="B497" s="122"/>
      <c r="C497" s="100"/>
      <c r="D497" s="123"/>
      <c r="E497" s="122"/>
      <c r="F497" s="122"/>
      <c r="G497" s="124"/>
      <c r="H497" s="122"/>
      <c r="I497" s="82"/>
      <c r="J497" s="82"/>
      <c r="K497" s="82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2.75" customHeight="1" x14ac:dyDescent="0.25">
      <c r="A498" s="122"/>
      <c r="B498" s="122"/>
      <c r="C498" s="100"/>
      <c r="D498" s="123"/>
      <c r="E498" s="122"/>
      <c r="F498" s="122"/>
      <c r="G498" s="124"/>
      <c r="H498" s="122"/>
      <c r="I498" s="82"/>
      <c r="J498" s="82"/>
      <c r="K498" s="82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2.75" customHeight="1" x14ac:dyDescent="0.25">
      <c r="A499" s="122"/>
      <c r="B499" s="122"/>
      <c r="C499" s="100"/>
      <c r="D499" s="123"/>
      <c r="E499" s="122"/>
      <c r="F499" s="122"/>
      <c r="G499" s="124"/>
      <c r="H499" s="122"/>
      <c r="I499" s="82"/>
      <c r="J499" s="82"/>
      <c r="K499" s="82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2.75" customHeight="1" x14ac:dyDescent="0.25">
      <c r="A500" s="122"/>
      <c r="B500" s="122"/>
      <c r="C500" s="100"/>
      <c r="D500" s="123"/>
      <c r="E500" s="122"/>
      <c r="F500" s="122"/>
      <c r="G500" s="124"/>
      <c r="H500" s="122"/>
      <c r="I500" s="82"/>
      <c r="J500" s="82"/>
      <c r="K500" s="82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2.75" customHeight="1" x14ac:dyDescent="0.25">
      <c r="A501" s="122"/>
      <c r="B501" s="122"/>
      <c r="C501" s="100"/>
      <c r="D501" s="123"/>
      <c r="E501" s="122"/>
      <c r="F501" s="122"/>
      <c r="G501" s="124"/>
      <c r="H501" s="122"/>
      <c r="I501" s="82"/>
      <c r="J501" s="82"/>
      <c r="K501" s="82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2.75" customHeight="1" x14ac:dyDescent="0.25">
      <c r="A502" s="122"/>
      <c r="B502" s="122"/>
      <c r="C502" s="100"/>
      <c r="D502" s="123"/>
      <c r="E502" s="122"/>
      <c r="F502" s="122"/>
      <c r="G502" s="124"/>
      <c r="H502" s="122"/>
      <c r="I502" s="82"/>
      <c r="J502" s="82"/>
      <c r="K502" s="82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2.75" customHeight="1" x14ac:dyDescent="0.25">
      <c r="A503" s="122"/>
      <c r="B503" s="122"/>
      <c r="C503" s="100"/>
      <c r="D503" s="123"/>
      <c r="E503" s="122"/>
      <c r="F503" s="122"/>
      <c r="G503" s="124"/>
      <c r="H503" s="122"/>
      <c r="I503" s="82"/>
      <c r="J503" s="82"/>
      <c r="K503" s="82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2.75" customHeight="1" x14ac:dyDescent="0.25">
      <c r="A504" s="122"/>
      <c r="B504" s="122"/>
      <c r="C504" s="100"/>
      <c r="D504" s="123"/>
      <c r="E504" s="122"/>
      <c r="F504" s="122"/>
      <c r="G504" s="124"/>
      <c r="H504" s="122"/>
      <c r="I504" s="82"/>
      <c r="J504" s="82"/>
      <c r="K504" s="82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2.75" customHeight="1" x14ac:dyDescent="0.25">
      <c r="A505" s="122"/>
      <c r="B505" s="122"/>
      <c r="C505" s="100"/>
      <c r="D505" s="123"/>
      <c r="E505" s="122"/>
      <c r="F505" s="122"/>
      <c r="G505" s="124"/>
      <c r="H505" s="122"/>
      <c r="I505" s="82"/>
      <c r="J505" s="82"/>
      <c r="K505" s="82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2.75" customHeight="1" x14ac:dyDescent="0.25">
      <c r="A506" s="122"/>
      <c r="B506" s="122"/>
      <c r="C506" s="100"/>
      <c r="D506" s="123"/>
      <c r="E506" s="122"/>
      <c r="F506" s="122"/>
      <c r="G506" s="124"/>
      <c r="H506" s="122"/>
      <c r="I506" s="82"/>
      <c r="J506" s="82"/>
      <c r="K506" s="82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2.75" customHeight="1" x14ac:dyDescent="0.25">
      <c r="A507" s="122"/>
      <c r="B507" s="122"/>
      <c r="C507" s="100"/>
      <c r="D507" s="123"/>
      <c r="E507" s="122"/>
      <c r="F507" s="122"/>
      <c r="G507" s="124"/>
      <c r="H507" s="122"/>
      <c r="I507" s="82"/>
      <c r="J507" s="82"/>
      <c r="K507" s="82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2.75" customHeight="1" x14ac:dyDescent="0.25">
      <c r="A508" s="122"/>
      <c r="B508" s="122"/>
      <c r="C508" s="100"/>
      <c r="D508" s="123"/>
      <c r="E508" s="122"/>
      <c r="F508" s="122"/>
      <c r="G508" s="124"/>
      <c r="H508" s="122"/>
      <c r="I508" s="82"/>
      <c r="J508" s="82"/>
      <c r="K508" s="82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2.75" customHeight="1" x14ac:dyDescent="0.25">
      <c r="A509" s="122"/>
      <c r="B509" s="122"/>
      <c r="C509" s="100"/>
      <c r="D509" s="123"/>
      <c r="E509" s="122"/>
      <c r="F509" s="122"/>
      <c r="G509" s="124"/>
      <c r="H509" s="122"/>
      <c r="I509" s="82"/>
      <c r="J509" s="82"/>
      <c r="K509" s="82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2.75" customHeight="1" x14ac:dyDescent="0.25">
      <c r="A510" s="122"/>
      <c r="B510" s="122"/>
      <c r="C510" s="100"/>
      <c r="D510" s="123"/>
      <c r="E510" s="122"/>
      <c r="F510" s="122"/>
      <c r="G510" s="124"/>
      <c r="H510" s="122"/>
      <c r="I510" s="82"/>
      <c r="J510" s="82"/>
      <c r="K510" s="82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2.75" customHeight="1" x14ac:dyDescent="0.25">
      <c r="A511" s="122"/>
      <c r="B511" s="122"/>
      <c r="C511" s="100"/>
      <c r="D511" s="123"/>
      <c r="E511" s="122"/>
      <c r="F511" s="122"/>
      <c r="G511" s="124"/>
      <c r="H511" s="122"/>
      <c r="I511" s="82"/>
      <c r="J511" s="82"/>
      <c r="K511" s="82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2.75" customHeight="1" x14ac:dyDescent="0.25">
      <c r="A512" s="122"/>
      <c r="B512" s="122"/>
      <c r="C512" s="100"/>
      <c r="D512" s="123"/>
      <c r="E512" s="122"/>
      <c r="F512" s="122"/>
      <c r="G512" s="124"/>
      <c r="H512" s="122"/>
      <c r="I512" s="82"/>
      <c r="J512" s="82"/>
      <c r="K512" s="82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2.75" customHeight="1" x14ac:dyDescent="0.25">
      <c r="A513" s="122"/>
      <c r="B513" s="122"/>
      <c r="C513" s="100"/>
      <c r="D513" s="123"/>
      <c r="E513" s="122"/>
      <c r="F513" s="122"/>
      <c r="G513" s="124"/>
      <c r="H513" s="122"/>
      <c r="I513" s="82"/>
      <c r="J513" s="82"/>
      <c r="K513" s="82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2.75" customHeight="1" x14ac:dyDescent="0.25">
      <c r="A514" s="122"/>
      <c r="B514" s="122"/>
      <c r="C514" s="100"/>
      <c r="D514" s="123"/>
      <c r="E514" s="122"/>
      <c r="F514" s="122"/>
      <c r="G514" s="124"/>
      <c r="H514" s="122"/>
      <c r="I514" s="82"/>
      <c r="J514" s="82"/>
      <c r="K514" s="82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2.75" customHeight="1" x14ac:dyDescent="0.25">
      <c r="A515" s="122"/>
      <c r="B515" s="122"/>
      <c r="C515" s="100"/>
      <c r="D515" s="123"/>
      <c r="E515" s="122"/>
      <c r="F515" s="122"/>
      <c r="G515" s="124"/>
      <c r="H515" s="122"/>
      <c r="I515" s="82"/>
      <c r="J515" s="82"/>
      <c r="K515" s="82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2.75" customHeight="1" x14ac:dyDescent="0.25">
      <c r="A516" s="122"/>
      <c r="B516" s="122"/>
      <c r="C516" s="100"/>
      <c r="D516" s="123"/>
      <c r="E516" s="122"/>
      <c r="F516" s="122"/>
      <c r="G516" s="124"/>
      <c r="H516" s="122"/>
      <c r="I516" s="82"/>
      <c r="J516" s="82"/>
      <c r="K516" s="82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2.75" customHeight="1" x14ac:dyDescent="0.25">
      <c r="A517" s="122"/>
      <c r="B517" s="122"/>
      <c r="C517" s="100"/>
      <c r="D517" s="123"/>
      <c r="E517" s="122"/>
      <c r="F517" s="122"/>
      <c r="G517" s="124"/>
      <c r="H517" s="122"/>
      <c r="I517" s="82"/>
      <c r="J517" s="82"/>
      <c r="K517" s="82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2.75" customHeight="1" x14ac:dyDescent="0.25">
      <c r="A518" s="122"/>
      <c r="B518" s="122"/>
      <c r="C518" s="100"/>
      <c r="D518" s="123"/>
      <c r="E518" s="122"/>
      <c r="F518" s="122"/>
      <c r="G518" s="124"/>
      <c r="H518" s="122"/>
      <c r="I518" s="82"/>
      <c r="J518" s="82"/>
      <c r="K518" s="82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2.75" customHeight="1" x14ac:dyDescent="0.25">
      <c r="A519" s="122"/>
      <c r="B519" s="122"/>
      <c r="C519" s="100"/>
      <c r="D519" s="123"/>
      <c r="E519" s="122"/>
      <c r="F519" s="122"/>
      <c r="G519" s="124"/>
      <c r="H519" s="122"/>
      <c r="I519" s="82"/>
      <c r="J519" s="82"/>
      <c r="K519" s="82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2.75" customHeight="1" x14ac:dyDescent="0.25">
      <c r="A520" s="122"/>
      <c r="B520" s="122"/>
      <c r="C520" s="100"/>
      <c r="D520" s="123"/>
      <c r="E520" s="122"/>
      <c r="F520" s="122"/>
      <c r="G520" s="124"/>
      <c r="H520" s="122"/>
      <c r="I520" s="82"/>
      <c r="J520" s="82"/>
      <c r="K520" s="82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2.75" customHeight="1" x14ac:dyDescent="0.25">
      <c r="A521" s="122"/>
      <c r="B521" s="122"/>
      <c r="C521" s="100"/>
      <c r="D521" s="123"/>
      <c r="E521" s="122"/>
      <c r="F521" s="122"/>
      <c r="G521" s="124"/>
      <c r="H521" s="122"/>
      <c r="I521" s="82"/>
      <c r="J521" s="82"/>
      <c r="K521" s="82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2.75" customHeight="1" x14ac:dyDescent="0.25">
      <c r="A522" s="122"/>
      <c r="B522" s="122"/>
      <c r="C522" s="100"/>
      <c r="D522" s="123"/>
      <c r="E522" s="122"/>
      <c r="F522" s="122"/>
      <c r="G522" s="124"/>
      <c r="H522" s="122"/>
      <c r="I522" s="82"/>
      <c r="J522" s="82"/>
      <c r="K522" s="82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2.75" customHeight="1" x14ac:dyDescent="0.25">
      <c r="A523" s="122"/>
      <c r="B523" s="122"/>
      <c r="C523" s="100"/>
      <c r="D523" s="123"/>
      <c r="E523" s="122"/>
      <c r="F523" s="122"/>
      <c r="G523" s="124"/>
      <c r="H523" s="122"/>
      <c r="I523" s="82"/>
      <c r="J523" s="82"/>
      <c r="K523" s="82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2.75" customHeight="1" x14ac:dyDescent="0.25">
      <c r="A524" s="122"/>
      <c r="B524" s="122"/>
      <c r="C524" s="100"/>
      <c r="D524" s="123"/>
      <c r="E524" s="122"/>
      <c r="F524" s="122"/>
      <c r="G524" s="124"/>
      <c r="H524" s="122"/>
      <c r="I524" s="82"/>
      <c r="J524" s="82"/>
      <c r="K524" s="82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2.75" customHeight="1" x14ac:dyDescent="0.25">
      <c r="A525" s="122"/>
      <c r="B525" s="122"/>
      <c r="C525" s="100"/>
      <c r="D525" s="123"/>
      <c r="E525" s="122"/>
      <c r="F525" s="122"/>
      <c r="G525" s="124"/>
      <c r="H525" s="122"/>
      <c r="I525" s="82"/>
      <c r="J525" s="82"/>
      <c r="K525" s="82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2.75" customHeight="1" x14ac:dyDescent="0.25">
      <c r="A526" s="122"/>
      <c r="B526" s="122"/>
      <c r="C526" s="100"/>
      <c r="D526" s="123"/>
      <c r="E526" s="122"/>
      <c r="F526" s="122"/>
      <c r="G526" s="124"/>
      <c r="H526" s="122"/>
      <c r="I526" s="82"/>
      <c r="J526" s="82"/>
      <c r="K526" s="82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2.75" customHeight="1" x14ac:dyDescent="0.25">
      <c r="A527" s="122"/>
      <c r="B527" s="122"/>
      <c r="C527" s="100"/>
      <c r="D527" s="123"/>
      <c r="E527" s="122"/>
      <c r="F527" s="122"/>
      <c r="G527" s="124"/>
      <c r="H527" s="122"/>
      <c r="I527" s="82"/>
      <c r="J527" s="82"/>
      <c r="K527" s="82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2.75" customHeight="1" x14ac:dyDescent="0.25">
      <c r="A528" s="122"/>
      <c r="B528" s="122"/>
      <c r="C528" s="100"/>
      <c r="D528" s="123"/>
      <c r="E528" s="122"/>
      <c r="F528" s="122"/>
      <c r="G528" s="124"/>
      <c r="H528" s="122"/>
      <c r="I528" s="82"/>
      <c r="J528" s="82"/>
      <c r="K528" s="82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2.75" customHeight="1" x14ac:dyDescent="0.25">
      <c r="A529" s="122"/>
      <c r="B529" s="122"/>
      <c r="C529" s="100"/>
      <c r="D529" s="123"/>
      <c r="E529" s="122"/>
      <c r="F529" s="122"/>
      <c r="G529" s="124"/>
      <c r="H529" s="122"/>
      <c r="I529" s="82"/>
      <c r="J529" s="82"/>
      <c r="K529" s="82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2.75" customHeight="1" x14ac:dyDescent="0.25">
      <c r="A530" s="122"/>
      <c r="B530" s="122"/>
      <c r="C530" s="100"/>
      <c r="D530" s="123"/>
      <c r="E530" s="122"/>
      <c r="F530" s="122"/>
      <c r="G530" s="124"/>
      <c r="H530" s="122"/>
      <c r="I530" s="82"/>
      <c r="J530" s="82"/>
      <c r="K530" s="82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2.75" customHeight="1" x14ac:dyDescent="0.25">
      <c r="A531" s="122"/>
      <c r="B531" s="122"/>
      <c r="C531" s="100"/>
      <c r="D531" s="123"/>
      <c r="E531" s="122"/>
      <c r="F531" s="122"/>
      <c r="G531" s="124"/>
      <c r="H531" s="122"/>
      <c r="I531" s="82"/>
      <c r="J531" s="82"/>
      <c r="K531" s="82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2.75" customHeight="1" x14ac:dyDescent="0.25">
      <c r="A532" s="122"/>
      <c r="B532" s="122"/>
      <c r="C532" s="100"/>
      <c r="D532" s="123"/>
      <c r="E532" s="122"/>
      <c r="F532" s="122"/>
      <c r="G532" s="124"/>
      <c r="H532" s="122"/>
      <c r="I532" s="82"/>
      <c r="J532" s="82"/>
      <c r="K532" s="82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2.75" customHeight="1" x14ac:dyDescent="0.25">
      <c r="A533" s="122"/>
      <c r="B533" s="122"/>
      <c r="C533" s="100"/>
      <c r="D533" s="123"/>
      <c r="E533" s="122"/>
      <c r="F533" s="122"/>
      <c r="G533" s="124"/>
      <c r="H533" s="122"/>
      <c r="I533" s="82"/>
      <c r="J533" s="82"/>
      <c r="K533" s="82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2.75" customHeight="1" x14ac:dyDescent="0.25">
      <c r="A534" s="122"/>
      <c r="B534" s="122"/>
      <c r="C534" s="100"/>
      <c r="D534" s="123"/>
      <c r="E534" s="122"/>
      <c r="F534" s="122"/>
      <c r="G534" s="124"/>
      <c r="H534" s="122"/>
      <c r="I534" s="82"/>
      <c r="J534" s="82"/>
      <c r="K534" s="82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2.75" customHeight="1" x14ac:dyDescent="0.25">
      <c r="A535" s="122"/>
      <c r="B535" s="122"/>
      <c r="C535" s="100"/>
      <c r="D535" s="123"/>
      <c r="E535" s="122"/>
      <c r="F535" s="122"/>
      <c r="G535" s="124"/>
      <c r="H535" s="122"/>
      <c r="I535" s="82"/>
      <c r="J535" s="82"/>
      <c r="K535" s="82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2.75" customHeight="1" x14ac:dyDescent="0.25">
      <c r="A536" s="122"/>
      <c r="B536" s="122"/>
      <c r="C536" s="100"/>
      <c r="D536" s="123"/>
      <c r="E536" s="122"/>
      <c r="F536" s="122"/>
      <c r="G536" s="124"/>
      <c r="H536" s="122"/>
      <c r="I536" s="82"/>
      <c r="J536" s="82"/>
      <c r="K536" s="82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2.75" customHeight="1" x14ac:dyDescent="0.25">
      <c r="A537" s="122"/>
      <c r="B537" s="122"/>
      <c r="C537" s="100"/>
      <c r="D537" s="123"/>
      <c r="E537" s="122"/>
      <c r="F537" s="122"/>
      <c r="G537" s="124"/>
      <c r="H537" s="122"/>
      <c r="I537" s="82"/>
      <c r="J537" s="82"/>
      <c r="K537" s="82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2.75" customHeight="1" x14ac:dyDescent="0.25">
      <c r="A538" s="122"/>
      <c r="B538" s="122"/>
      <c r="C538" s="100"/>
      <c r="D538" s="123"/>
      <c r="E538" s="122"/>
      <c r="F538" s="122"/>
      <c r="G538" s="124"/>
      <c r="H538" s="122"/>
      <c r="I538" s="82"/>
      <c r="J538" s="82"/>
      <c r="K538" s="82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2.75" customHeight="1" x14ac:dyDescent="0.25">
      <c r="A539" s="122"/>
      <c r="B539" s="122"/>
      <c r="C539" s="100"/>
      <c r="D539" s="123"/>
      <c r="E539" s="122"/>
      <c r="F539" s="122"/>
      <c r="G539" s="124"/>
      <c r="H539" s="122"/>
      <c r="I539" s="82"/>
      <c r="J539" s="82"/>
      <c r="K539" s="82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2.75" customHeight="1" x14ac:dyDescent="0.25">
      <c r="A540" s="122"/>
      <c r="B540" s="122"/>
      <c r="C540" s="100"/>
      <c r="D540" s="123"/>
      <c r="E540" s="122"/>
      <c r="F540" s="122"/>
      <c r="G540" s="124"/>
      <c r="H540" s="122"/>
      <c r="I540" s="82"/>
      <c r="J540" s="82"/>
      <c r="K540" s="82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2.75" customHeight="1" x14ac:dyDescent="0.25">
      <c r="A541" s="122"/>
      <c r="B541" s="122"/>
      <c r="C541" s="100"/>
      <c r="D541" s="123"/>
      <c r="E541" s="122"/>
      <c r="F541" s="122"/>
      <c r="G541" s="124"/>
      <c r="H541" s="122"/>
      <c r="I541" s="82"/>
      <c r="J541" s="82"/>
      <c r="K541" s="82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2.75" customHeight="1" x14ac:dyDescent="0.25">
      <c r="A542" s="122"/>
      <c r="B542" s="122"/>
      <c r="C542" s="100"/>
      <c r="D542" s="123"/>
      <c r="E542" s="122"/>
      <c r="F542" s="122"/>
      <c r="G542" s="124"/>
      <c r="H542" s="122"/>
      <c r="I542" s="82"/>
      <c r="J542" s="82"/>
      <c r="K542" s="82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2.75" customHeight="1" x14ac:dyDescent="0.25">
      <c r="A543" s="122"/>
      <c r="B543" s="122"/>
      <c r="C543" s="100"/>
      <c r="D543" s="123"/>
      <c r="E543" s="122"/>
      <c r="F543" s="122"/>
      <c r="G543" s="124"/>
      <c r="H543" s="122"/>
      <c r="I543" s="82"/>
      <c r="J543" s="82"/>
      <c r="K543" s="82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2.75" customHeight="1" x14ac:dyDescent="0.25">
      <c r="A544" s="122"/>
      <c r="B544" s="122"/>
      <c r="C544" s="100"/>
      <c r="D544" s="123"/>
      <c r="E544" s="122"/>
      <c r="F544" s="122"/>
      <c r="G544" s="124"/>
      <c r="H544" s="122"/>
      <c r="I544" s="82"/>
      <c r="J544" s="82"/>
      <c r="K544" s="82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2.75" customHeight="1" x14ac:dyDescent="0.25">
      <c r="A545" s="122"/>
      <c r="B545" s="122"/>
      <c r="C545" s="100"/>
      <c r="D545" s="123"/>
      <c r="E545" s="122"/>
      <c r="F545" s="122"/>
      <c r="G545" s="124"/>
      <c r="H545" s="122"/>
      <c r="I545" s="82"/>
      <c r="J545" s="82"/>
      <c r="K545" s="82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2.75" customHeight="1" x14ac:dyDescent="0.25">
      <c r="A546" s="122"/>
      <c r="B546" s="122"/>
      <c r="C546" s="100"/>
      <c r="D546" s="123"/>
      <c r="E546" s="122"/>
      <c r="F546" s="122"/>
      <c r="G546" s="124"/>
      <c r="H546" s="122"/>
      <c r="I546" s="82"/>
      <c r="J546" s="82"/>
      <c r="K546" s="82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2.75" customHeight="1" x14ac:dyDescent="0.25">
      <c r="A547" s="122"/>
      <c r="B547" s="122"/>
      <c r="C547" s="100"/>
      <c r="D547" s="123"/>
      <c r="E547" s="122"/>
      <c r="F547" s="122"/>
      <c r="G547" s="124"/>
      <c r="H547" s="122"/>
      <c r="I547" s="82"/>
      <c r="J547" s="82"/>
      <c r="K547" s="82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2.75" customHeight="1" x14ac:dyDescent="0.25">
      <c r="A548" s="122"/>
      <c r="B548" s="122"/>
      <c r="C548" s="100"/>
      <c r="D548" s="123"/>
      <c r="E548" s="122"/>
      <c r="F548" s="122"/>
      <c r="G548" s="124"/>
      <c r="H548" s="122"/>
      <c r="I548" s="82"/>
      <c r="J548" s="82"/>
      <c r="K548" s="82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2.75" customHeight="1" x14ac:dyDescent="0.25">
      <c r="A549" s="122"/>
      <c r="B549" s="122"/>
      <c r="C549" s="100"/>
      <c r="D549" s="123"/>
      <c r="E549" s="122"/>
      <c r="F549" s="122"/>
      <c r="G549" s="124"/>
      <c r="H549" s="122"/>
      <c r="I549" s="82"/>
      <c r="J549" s="82"/>
      <c r="K549" s="82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2.75" customHeight="1" x14ac:dyDescent="0.25">
      <c r="A550" s="122"/>
      <c r="B550" s="122"/>
      <c r="C550" s="100"/>
      <c r="D550" s="123"/>
      <c r="E550" s="122"/>
      <c r="F550" s="122"/>
      <c r="G550" s="124"/>
      <c r="H550" s="122"/>
      <c r="I550" s="82"/>
      <c r="J550" s="82"/>
      <c r="K550" s="82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2.75" customHeight="1" x14ac:dyDescent="0.25">
      <c r="A551" s="122"/>
      <c r="B551" s="122"/>
      <c r="C551" s="100"/>
      <c r="D551" s="123"/>
      <c r="E551" s="122"/>
      <c r="F551" s="122"/>
      <c r="G551" s="124"/>
      <c r="H551" s="122"/>
      <c r="I551" s="82"/>
      <c r="J551" s="82"/>
      <c r="K551" s="82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2.75" customHeight="1" x14ac:dyDescent="0.25">
      <c r="A552" s="122"/>
      <c r="B552" s="122"/>
      <c r="C552" s="100"/>
      <c r="D552" s="123"/>
      <c r="E552" s="122"/>
      <c r="F552" s="122"/>
      <c r="G552" s="124"/>
      <c r="H552" s="122"/>
      <c r="I552" s="82"/>
      <c r="J552" s="82"/>
      <c r="K552" s="82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2.75" customHeight="1" x14ac:dyDescent="0.25">
      <c r="A553" s="122"/>
      <c r="B553" s="122"/>
      <c r="C553" s="100"/>
      <c r="D553" s="123"/>
      <c r="E553" s="122"/>
      <c r="F553" s="122"/>
      <c r="G553" s="124"/>
      <c r="H553" s="122"/>
      <c r="I553" s="82"/>
      <c r="J553" s="82"/>
      <c r="K553" s="82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2.75" customHeight="1" x14ac:dyDescent="0.25">
      <c r="A554" s="122"/>
      <c r="B554" s="122"/>
      <c r="C554" s="100"/>
      <c r="D554" s="123"/>
      <c r="E554" s="122"/>
      <c r="F554" s="122"/>
      <c r="G554" s="124"/>
      <c r="H554" s="122"/>
      <c r="I554" s="82"/>
      <c r="J554" s="82"/>
      <c r="K554" s="82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2.75" customHeight="1" x14ac:dyDescent="0.25">
      <c r="A555" s="122"/>
      <c r="B555" s="122"/>
      <c r="C555" s="100"/>
      <c r="D555" s="123"/>
      <c r="E555" s="122"/>
      <c r="F555" s="122"/>
      <c r="G555" s="124"/>
      <c r="H555" s="122"/>
      <c r="I555" s="82"/>
      <c r="J555" s="82"/>
      <c r="K555" s="82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2.75" customHeight="1" x14ac:dyDescent="0.25">
      <c r="A556" s="122"/>
      <c r="B556" s="122"/>
      <c r="C556" s="100"/>
      <c r="D556" s="123"/>
      <c r="E556" s="122"/>
      <c r="F556" s="122"/>
      <c r="G556" s="124"/>
      <c r="H556" s="122"/>
      <c r="I556" s="82"/>
      <c r="J556" s="82"/>
      <c r="K556" s="82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2.75" customHeight="1" x14ac:dyDescent="0.25">
      <c r="A557" s="122"/>
      <c r="B557" s="122"/>
      <c r="C557" s="100"/>
      <c r="D557" s="123"/>
      <c r="E557" s="122"/>
      <c r="F557" s="122"/>
      <c r="G557" s="124"/>
      <c r="H557" s="122"/>
      <c r="I557" s="82"/>
      <c r="J557" s="82"/>
      <c r="K557" s="82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2.75" customHeight="1" x14ac:dyDescent="0.25">
      <c r="A558" s="122"/>
      <c r="B558" s="122"/>
      <c r="C558" s="100"/>
      <c r="D558" s="123"/>
      <c r="E558" s="122"/>
      <c r="F558" s="122"/>
      <c r="G558" s="124"/>
      <c r="H558" s="122"/>
      <c r="I558" s="82"/>
      <c r="J558" s="82"/>
      <c r="K558" s="82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2.75" customHeight="1" x14ac:dyDescent="0.25">
      <c r="A559" s="122"/>
      <c r="B559" s="122"/>
      <c r="C559" s="100"/>
      <c r="D559" s="123"/>
      <c r="E559" s="122"/>
      <c r="F559" s="122"/>
      <c r="G559" s="124"/>
      <c r="H559" s="122"/>
      <c r="I559" s="82"/>
      <c r="J559" s="82"/>
      <c r="K559" s="82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2.75" customHeight="1" x14ac:dyDescent="0.25">
      <c r="A560" s="122"/>
      <c r="B560" s="122"/>
      <c r="C560" s="100"/>
      <c r="D560" s="123"/>
      <c r="E560" s="122"/>
      <c r="F560" s="122"/>
      <c r="G560" s="124"/>
      <c r="H560" s="122"/>
      <c r="I560" s="82"/>
      <c r="J560" s="82"/>
      <c r="K560" s="82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2.75" customHeight="1" x14ac:dyDescent="0.25">
      <c r="A561" s="122"/>
      <c r="B561" s="122"/>
      <c r="C561" s="100"/>
      <c r="D561" s="123"/>
      <c r="E561" s="122"/>
      <c r="F561" s="122"/>
      <c r="G561" s="124"/>
      <c r="H561" s="122"/>
      <c r="I561" s="82"/>
      <c r="J561" s="82"/>
      <c r="K561" s="82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2.75" customHeight="1" x14ac:dyDescent="0.25">
      <c r="A562" s="122"/>
      <c r="B562" s="122"/>
      <c r="C562" s="100"/>
      <c r="D562" s="123"/>
      <c r="E562" s="122"/>
      <c r="F562" s="122"/>
      <c r="G562" s="124"/>
      <c r="H562" s="122"/>
      <c r="I562" s="82"/>
      <c r="J562" s="82"/>
      <c r="K562" s="82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2.75" customHeight="1" x14ac:dyDescent="0.25">
      <c r="A563" s="122"/>
      <c r="B563" s="122"/>
      <c r="C563" s="100"/>
      <c r="D563" s="123"/>
      <c r="E563" s="122"/>
      <c r="F563" s="122"/>
      <c r="G563" s="124"/>
      <c r="H563" s="122"/>
      <c r="I563" s="82"/>
      <c r="J563" s="82"/>
      <c r="K563" s="82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2.75" customHeight="1" x14ac:dyDescent="0.25">
      <c r="A564" s="122"/>
      <c r="B564" s="122"/>
      <c r="C564" s="100"/>
      <c r="D564" s="123"/>
      <c r="E564" s="122"/>
      <c r="F564" s="122"/>
      <c r="G564" s="124"/>
      <c r="H564" s="122"/>
      <c r="I564" s="82"/>
      <c r="J564" s="82"/>
      <c r="K564" s="82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2.75" customHeight="1" x14ac:dyDescent="0.25">
      <c r="A565" s="122"/>
      <c r="B565" s="122"/>
      <c r="C565" s="100"/>
      <c r="D565" s="123"/>
      <c r="E565" s="122"/>
      <c r="F565" s="122"/>
      <c r="G565" s="124"/>
      <c r="H565" s="122"/>
      <c r="I565" s="82"/>
      <c r="J565" s="82"/>
      <c r="K565" s="82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2.75" customHeight="1" x14ac:dyDescent="0.25">
      <c r="A566" s="122"/>
      <c r="B566" s="122"/>
      <c r="C566" s="100"/>
      <c r="D566" s="123"/>
      <c r="E566" s="122"/>
      <c r="F566" s="122"/>
      <c r="G566" s="124"/>
      <c r="H566" s="122"/>
      <c r="I566" s="82"/>
      <c r="J566" s="82"/>
      <c r="K566" s="82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2.75" customHeight="1" x14ac:dyDescent="0.25">
      <c r="A567" s="122"/>
      <c r="B567" s="122"/>
      <c r="C567" s="100"/>
      <c r="D567" s="123"/>
      <c r="E567" s="122"/>
      <c r="F567" s="122"/>
      <c r="G567" s="124"/>
      <c r="H567" s="122"/>
      <c r="I567" s="82"/>
      <c r="J567" s="82"/>
      <c r="K567" s="82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2.75" customHeight="1" x14ac:dyDescent="0.25">
      <c r="A568" s="122"/>
      <c r="B568" s="122"/>
      <c r="C568" s="100"/>
      <c r="D568" s="123"/>
      <c r="E568" s="122"/>
      <c r="F568" s="122"/>
      <c r="G568" s="124"/>
      <c r="H568" s="122"/>
      <c r="I568" s="82"/>
      <c r="J568" s="82"/>
      <c r="K568" s="82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2.75" customHeight="1" x14ac:dyDescent="0.25">
      <c r="A569" s="122"/>
      <c r="B569" s="122"/>
      <c r="C569" s="100"/>
      <c r="D569" s="123"/>
      <c r="E569" s="122"/>
      <c r="F569" s="122"/>
      <c r="G569" s="124"/>
      <c r="H569" s="122"/>
      <c r="I569" s="82"/>
      <c r="J569" s="82"/>
      <c r="K569" s="82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2.75" customHeight="1" x14ac:dyDescent="0.25">
      <c r="A570" s="122"/>
      <c r="B570" s="122"/>
      <c r="C570" s="100"/>
      <c r="D570" s="123"/>
      <c r="E570" s="122"/>
      <c r="F570" s="122"/>
      <c r="G570" s="124"/>
      <c r="H570" s="122"/>
      <c r="I570" s="82"/>
      <c r="J570" s="82"/>
      <c r="K570" s="82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2.75" customHeight="1" x14ac:dyDescent="0.25">
      <c r="A571" s="122"/>
      <c r="B571" s="122"/>
      <c r="C571" s="100"/>
      <c r="D571" s="123"/>
      <c r="E571" s="122"/>
      <c r="F571" s="122"/>
      <c r="G571" s="124"/>
      <c r="H571" s="122"/>
      <c r="I571" s="82"/>
      <c r="J571" s="82"/>
      <c r="K571" s="82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2.75" customHeight="1" x14ac:dyDescent="0.25">
      <c r="A572" s="122"/>
      <c r="B572" s="122"/>
      <c r="C572" s="100"/>
      <c r="D572" s="123"/>
      <c r="E572" s="122"/>
      <c r="F572" s="122"/>
      <c r="G572" s="124"/>
      <c r="H572" s="122"/>
      <c r="I572" s="82"/>
      <c r="J572" s="82"/>
      <c r="K572" s="82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2.75" customHeight="1" x14ac:dyDescent="0.25">
      <c r="A573" s="122"/>
      <c r="B573" s="122"/>
      <c r="C573" s="100"/>
      <c r="D573" s="123"/>
      <c r="E573" s="122"/>
      <c r="F573" s="122"/>
      <c r="G573" s="124"/>
      <c r="H573" s="122"/>
      <c r="I573" s="82"/>
      <c r="J573" s="82"/>
      <c r="K573" s="82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2.75" customHeight="1" x14ac:dyDescent="0.25">
      <c r="A574" s="122"/>
      <c r="B574" s="122"/>
      <c r="C574" s="100"/>
      <c r="D574" s="123"/>
      <c r="E574" s="122"/>
      <c r="F574" s="122"/>
      <c r="G574" s="124"/>
      <c r="H574" s="122"/>
      <c r="I574" s="82"/>
      <c r="J574" s="82"/>
      <c r="K574" s="82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2.75" customHeight="1" x14ac:dyDescent="0.25">
      <c r="A575" s="122"/>
      <c r="B575" s="122"/>
      <c r="C575" s="100"/>
      <c r="D575" s="123"/>
      <c r="E575" s="122"/>
      <c r="F575" s="122"/>
      <c r="G575" s="124"/>
      <c r="H575" s="122"/>
      <c r="I575" s="82"/>
      <c r="J575" s="82"/>
      <c r="K575" s="82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2.75" customHeight="1" x14ac:dyDescent="0.25">
      <c r="A576" s="122"/>
      <c r="B576" s="122"/>
      <c r="C576" s="100"/>
      <c r="D576" s="123"/>
      <c r="E576" s="122"/>
      <c r="F576" s="122"/>
      <c r="G576" s="124"/>
      <c r="H576" s="122"/>
      <c r="I576" s="82"/>
      <c r="J576" s="82"/>
      <c r="K576" s="82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2.75" customHeight="1" x14ac:dyDescent="0.25">
      <c r="A577" s="122"/>
      <c r="B577" s="122"/>
      <c r="C577" s="100"/>
      <c r="D577" s="123"/>
      <c r="E577" s="122"/>
      <c r="F577" s="122"/>
      <c r="G577" s="124"/>
      <c r="H577" s="122"/>
      <c r="I577" s="82"/>
      <c r="J577" s="82"/>
      <c r="K577" s="82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2.75" customHeight="1" x14ac:dyDescent="0.25">
      <c r="A578" s="122"/>
      <c r="B578" s="122"/>
      <c r="C578" s="100"/>
      <c r="D578" s="123"/>
      <c r="E578" s="122"/>
      <c r="F578" s="122"/>
      <c r="G578" s="124"/>
      <c r="H578" s="122"/>
      <c r="I578" s="82"/>
      <c r="J578" s="82"/>
      <c r="K578" s="82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2.75" customHeight="1" x14ac:dyDescent="0.25">
      <c r="A579" s="122"/>
      <c r="B579" s="122"/>
      <c r="C579" s="100"/>
      <c r="D579" s="123"/>
      <c r="E579" s="122"/>
      <c r="F579" s="122"/>
      <c r="G579" s="124"/>
      <c r="H579" s="122"/>
      <c r="I579" s="82"/>
      <c r="J579" s="82"/>
      <c r="K579" s="82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2.75" customHeight="1" x14ac:dyDescent="0.25">
      <c r="A580" s="122"/>
      <c r="B580" s="122"/>
      <c r="C580" s="100"/>
      <c r="D580" s="123"/>
      <c r="E580" s="122"/>
      <c r="F580" s="122"/>
      <c r="G580" s="124"/>
      <c r="H580" s="122"/>
      <c r="I580" s="82"/>
      <c r="J580" s="82"/>
      <c r="K580" s="82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2.75" customHeight="1" x14ac:dyDescent="0.25">
      <c r="A581" s="122"/>
      <c r="B581" s="122"/>
      <c r="C581" s="100"/>
      <c r="D581" s="123"/>
      <c r="E581" s="122"/>
      <c r="F581" s="122"/>
      <c r="G581" s="124"/>
      <c r="H581" s="122"/>
      <c r="I581" s="82"/>
      <c r="J581" s="82"/>
      <c r="K581" s="82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2.75" customHeight="1" x14ac:dyDescent="0.25">
      <c r="A582" s="122"/>
      <c r="B582" s="122"/>
      <c r="C582" s="100"/>
      <c r="D582" s="123"/>
      <c r="E582" s="122"/>
      <c r="F582" s="122"/>
      <c r="G582" s="124"/>
      <c r="H582" s="122"/>
      <c r="I582" s="82"/>
      <c r="J582" s="82"/>
      <c r="K582" s="82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2.75" customHeight="1" x14ac:dyDescent="0.25">
      <c r="A583" s="122"/>
      <c r="B583" s="122"/>
      <c r="C583" s="100"/>
      <c r="D583" s="123"/>
      <c r="E583" s="122"/>
      <c r="F583" s="122"/>
      <c r="G583" s="124"/>
      <c r="H583" s="122"/>
      <c r="I583" s="82"/>
      <c r="J583" s="82"/>
      <c r="K583" s="82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2.75" customHeight="1" x14ac:dyDescent="0.25">
      <c r="A584" s="122"/>
      <c r="B584" s="122"/>
      <c r="C584" s="100"/>
      <c r="D584" s="123"/>
      <c r="E584" s="122"/>
      <c r="F584" s="122"/>
      <c r="G584" s="124"/>
      <c r="H584" s="122"/>
      <c r="I584" s="82"/>
      <c r="J584" s="82"/>
      <c r="K584" s="82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2.75" customHeight="1" x14ac:dyDescent="0.25">
      <c r="A585" s="122"/>
      <c r="B585" s="122"/>
      <c r="C585" s="100"/>
      <c r="D585" s="123"/>
      <c r="E585" s="122"/>
      <c r="F585" s="122"/>
      <c r="G585" s="124"/>
      <c r="H585" s="122"/>
      <c r="I585" s="82"/>
      <c r="J585" s="82"/>
      <c r="K585" s="82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2.75" customHeight="1" x14ac:dyDescent="0.25">
      <c r="A586" s="122"/>
      <c r="B586" s="122"/>
      <c r="C586" s="100"/>
      <c r="D586" s="123"/>
      <c r="E586" s="122"/>
      <c r="F586" s="122"/>
      <c r="G586" s="124"/>
      <c r="H586" s="122"/>
      <c r="I586" s="82"/>
      <c r="J586" s="82"/>
      <c r="K586" s="82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2.75" customHeight="1" x14ac:dyDescent="0.25">
      <c r="A587" s="122"/>
      <c r="B587" s="122"/>
      <c r="C587" s="100"/>
      <c r="D587" s="123"/>
      <c r="E587" s="122"/>
      <c r="F587" s="122"/>
      <c r="G587" s="124"/>
      <c r="H587" s="122"/>
      <c r="I587" s="82"/>
      <c r="J587" s="82"/>
      <c r="K587" s="82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2.75" customHeight="1" x14ac:dyDescent="0.25">
      <c r="A588" s="122"/>
      <c r="B588" s="122"/>
      <c r="C588" s="100"/>
      <c r="D588" s="123"/>
      <c r="E588" s="122"/>
      <c r="F588" s="122"/>
      <c r="G588" s="124"/>
      <c r="H588" s="122"/>
      <c r="I588" s="82"/>
      <c r="J588" s="82"/>
      <c r="K588" s="82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2.75" customHeight="1" x14ac:dyDescent="0.25">
      <c r="A589" s="122"/>
      <c r="B589" s="122"/>
      <c r="C589" s="100"/>
      <c r="D589" s="123"/>
      <c r="E589" s="122"/>
      <c r="F589" s="122"/>
      <c r="G589" s="124"/>
      <c r="H589" s="122"/>
      <c r="I589" s="82"/>
      <c r="J589" s="82"/>
      <c r="K589" s="82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2.75" customHeight="1" x14ac:dyDescent="0.25">
      <c r="A590" s="122"/>
      <c r="B590" s="122"/>
      <c r="C590" s="100"/>
      <c r="D590" s="123"/>
      <c r="E590" s="122"/>
      <c r="F590" s="122"/>
      <c r="G590" s="124"/>
      <c r="H590" s="122"/>
      <c r="I590" s="82"/>
      <c r="J590" s="82"/>
      <c r="K590" s="82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2.75" customHeight="1" x14ac:dyDescent="0.25">
      <c r="A591" s="122"/>
      <c r="B591" s="122"/>
      <c r="C591" s="100"/>
      <c r="D591" s="123"/>
      <c r="E591" s="122"/>
      <c r="F591" s="122"/>
      <c r="G591" s="124"/>
      <c r="H591" s="122"/>
      <c r="I591" s="82"/>
      <c r="J591" s="82"/>
      <c r="K591" s="82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2.75" customHeight="1" x14ac:dyDescent="0.25">
      <c r="A592" s="122"/>
      <c r="B592" s="122"/>
      <c r="C592" s="100"/>
      <c r="D592" s="123"/>
      <c r="E592" s="122"/>
      <c r="F592" s="122"/>
      <c r="G592" s="124"/>
      <c r="H592" s="122"/>
      <c r="I592" s="82"/>
      <c r="J592" s="82"/>
      <c r="K592" s="82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2.75" customHeight="1" x14ac:dyDescent="0.25">
      <c r="A593" s="122"/>
      <c r="B593" s="122"/>
      <c r="C593" s="100"/>
      <c r="D593" s="123"/>
      <c r="E593" s="122"/>
      <c r="F593" s="122"/>
      <c r="G593" s="124"/>
      <c r="H593" s="122"/>
      <c r="I593" s="82"/>
      <c r="J593" s="82"/>
      <c r="K593" s="82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2.75" customHeight="1" x14ac:dyDescent="0.25">
      <c r="A594" s="122"/>
      <c r="B594" s="122"/>
      <c r="C594" s="100"/>
      <c r="D594" s="123"/>
      <c r="E594" s="122"/>
      <c r="F594" s="122"/>
      <c r="G594" s="124"/>
      <c r="H594" s="122"/>
      <c r="I594" s="82"/>
      <c r="J594" s="82"/>
      <c r="K594" s="82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2.75" customHeight="1" x14ac:dyDescent="0.25">
      <c r="A595" s="122"/>
      <c r="B595" s="122"/>
      <c r="C595" s="100"/>
      <c r="D595" s="123"/>
      <c r="E595" s="122"/>
      <c r="F595" s="122"/>
      <c r="G595" s="124"/>
      <c r="H595" s="122"/>
      <c r="I595" s="82"/>
      <c r="J595" s="82"/>
      <c r="K595" s="82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2.75" customHeight="1" x14ac:dyDescent="0.25">
      <c r="A596" s="122"/>
      <c r="B596" s="122"/>
      <c r="C596" s="100"/>
      <c r="D596" s="123"/>
      <c r="E596" s="122"/>
      <c r="F596" s="122"/>
      <c r="G596" s="124"/>
      <c r="H596" s="122"/>
      <c r="I596" s="82"/>
      <c r="J596" s="82"/>
      <c r="K596" s="82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2.75" customHeight="1" x14ac:dyDescent="0.25">
      <c r="A597" s="122"/>
      <c r="B597" s="122"/>
      <c r="C597" s="100"/>
      <c r="D597" s="123"/>
      <c r="E597" s="122"/>
      <c r="F597" s="122"/>
      <c r="G597" s="124"/>
      <c r="H597" s="122"/>
      <c r="I597" s="82"/>
      <c r="J597" s="82"/>
      <c r="K597" s="82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2.75" customHeight="1" x14ac:dyDescent="0.25">
      <c r="A598" s="122"/>
      <c r="B598" s="122"/>
      <c r="C598" s="100"/>
      <c r="D598" s="123"/>
      <c r="E598" s="122"/>
      <c r="F598" s="122"/>
      <c r="G598" s="124"/>
      <c r="H598" s="122"/>
      <c r="I598" s="82"/>
      <c r="J598" s="82"/>
      <c r="K598" s="82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2.75" customHeight="1" x14ac:dyDescent="0.25">
      <c r="A599" s="122"/>
      <c r="B599" s="122"/>
      <c r="C599" s="100"/>
      <c r="D599" s="123"/>
      <c r="E599" s="122"/>
      <c r="F599" s="122"/>
      <c r="G599" s="124"/>
      <c r="H599" s="122"/>
      <c r="I599" s="82"/>
      <c r="J599" s="82"/>
      <c r="K599" s="82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2.75" customHeight="1" x14ac:dyDescent="0.25">
      <c r="A600" s="122"/>
      <c r="B600" s="122"/>
      <c r="C600" s="100"/>
      <c r="D600" s="123"/>
      <c r="E600" s="122"/>
      <c r="F600" s="122"/>
      <c r="G600" s="124"/>
      <c r="H600" s="122"/>
      <c r="I600" s="82"/>
      <c r="J600" s="82"/>
      <c r="K600" s="82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2.75" customHeight="1" x14ac:dyDescent="0.25">
      <c r="A601" s="122"/>
      <c r="B601" s="122"/>
      <c r="C601" s="100"/>
      <c r="D601" s="123"/>
      <c r="E601" s="122"/>
      <c r="F601" s="122"/>
      <c r="G601" s="124"/>
      <c r="H601" s="122"/>
      <c r="I601" s="82"/>
      <c r="J601" s="82"/>
      <c r="K601" s="82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2.75" customHeight="1" x14ac:dyDescent="0.25">
      <c r="A602" s="122"/>
      <c r="B602" s="122"/>
      <c r="C602" s="100"/>
      <c r="D602" s="123"/>
      <c r="E602" s="122"/>
      <c r="F602" s="122"/>
      <c r="G602" s="124"/>
      <c r="H602" s="122"/>
      <c r="I602" s="82"/>
      <c r="J602" s="82"/>
      <c r="K602" s="82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2.75" customHeight="1" x14ac:dyDescent="0.25">
      <c r="A603" s="122"/>
      <c r="B603" s="122"/>
      <c r="C603" s="100"/>
      <c r="D603" s="123"/>
      <c r="E603" s="122"/>
      <c r="F603" s="122"/>
      <c r="G603" s="124"/>
      <c r="H603" s="122"/>
      <c r="I603" s="82"/>
      <c r="J603" s="82"/>
      <c r="K603" s="82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2.75" customHeight="1" x14ac:dyDescent="0.25">
      <c r="A604" s="122"/>
      <c r="B604" s="122"/>
      <c r="C604" s="100"/>
      <c r="D604" s="123"/>
      <c r="E604" s="122"/>
      <c r="F604" s="122"/>
      <c r="G604" s="124"/>
      <c r="H604" s="122"/>
      <c r="I604" s="82"/>
      <c r="J604" s="82"/>
      <c r="K604" s="82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2.75" customHeight="1" x14ac:dyDescent="0.25">
      <c r="A605" s="122"/>
      <c r="B605" s="122"/>
      <c r="C605" s="100"/>
      <c r="D605" s="123"/>
      <c r="E605" s="122"/>
      <c r="F605" s="122"/>
      <c r="G605" s="124"/>
      <c r="H605" s="122"/>
      <c r="I605" s="82"/>
      <c r="J605" s="82"/>
      <c r="K605" s="82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2.75" customHeight="1" x14ac:dyDescent="0.25">
      <c r="A606" s="122"/>
      <c r="B606" s="122"/>
      <c r="C606" s="100"/>
      <c r="D606" s="123"/>
      <c r="E606" s="122"/>
      <c r="F606" s="122"/>
      <c r="G606" s="124"/>
      <c r="H606" s="122"/>
      <c r="I606" s="82"/>
      <c r="J606" s="82"/>
      <c r="K606" s="82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2.75" customHeight="1" x14ac:dyDescent="0.25">
      <c r="A607" s="122"/>
      <c r="B607" s="122"/>
      <c r="C607" s="100"/>
      <c r="D607" s="123"/>
      <c r="E607" s="122"/>
      <c r="F607" s="122"/>
      <c r="G607" s="124"/>
      <c r="H607" s="122"/>
      <c r="I607" s="82"/>
      <c r="J607" s="82"/>
      <c r="K607" s="82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2.75" customHeight="1" x14ac:dyDescent="0.25">
      <c r="A608" s="122"/>
      <c r="B608" s="122"/>
      <c r="C608" s="100"/>
      <c r="D608" s="123"/>
      <c r="E608" s="122"/>
      <c r="F608" s="122"/>
      <c r="G608" s="124"/>
      <c r="H608" s="122"/>
      <c r="I608" s="82"/>
      <c r="J608" s="82"/>
      <c r="K608" s="82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2.75" customHeight="1" x14ac:dyDescent="0.25">
      <c r="A609" s="122"/>
      <c r="B609" s="122"/>
      <c r="C609" s="100"/>
      <c r="D609" s="123"/>
      <c r="E609" s="122"/>
      <c r="F609" s="122"/>
      <c r="G609" s="124"/>
      <c r="H609" s="122"/>
      <c r="I609" s="82"/>
      <c r="J609" s="82"/>
      <c r="K609" s="82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2.75" customHeight="1" x14ac:dyDescent="0.25">
      <c r="A610" s="122"/>
      <c r="B610" s="122"/>
      <c r="C610" s="100"/>
      <c r="D610" s="123"/>
      <c r="E610" s="122"/>
      <c r="F610" s="122"/>
      <c r="G610" s="124"/>
      <c r="H610" s="122"/>
      <c r="I610" s="82"/>
      <c r="J610" s="82"/>
      <c r="K610" s="82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2.75" customHeight="1" x14ac:dyDescent="0.25">
      <c r="A611" s="122"/>
      <c r="B611" s="122"/>
      <c r="C611" s="100"/>
      <c r="D611" s="123"/>
      <c r="E611" s="122"/>
      <c r="F611" s="122"/>
      <c r="G611" s="124"/>
      <c r="H611" s="122"/>
      <c r="I611" s="82"/>
      <c r="J611" s="82"/>
      <c r="K611" s="82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2.75" customHeight="1" x14ac:dyDescent="0.25">
      <c r="A612" s="122"/>
      <c r="B612" s="122"/>
      <c r="C612" s="100"/>
      <c r="D612" s="123"/>
      <c r="E612" s="122"/>
      <c r="F612" s="122"/>
      <c r="G612" s="124"/>
      <c r="H612" s="122"/>
      <c r="I612" s="82"/>
      <c r="J612" s="82"/>
      <c r="K612" s="82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2.75" customHeight="1" x14ac:dyDescent="0.25">
      <c r="A613" s="122"/>
      <c r="B613" s="122"/>
      <c r="C613" s="100"/>
      <c r="D613" s="123"/>
      <c r="E613" s="122"/>
      <c r="F613" s="122"/>
      <c r="G613" s="124"/>
      <c r="H613" s="122"/>
      <c r="I613" s="82"/>
      <c r="J613" s="82"/>
      <c r="K613" s="82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2.75" customHeight="1" x14ac:dyDescent="0.25">
      <c r="A614" s="122"/>
      <c r="B614" s="122"/>
      <c r="C614" s="100"/>
      <c r="D614" s="123"/>
      <c r="E614" s="122"/>
      <c r="F614" s="122"/>
      <c r="G614" s="124"/>
      <c r="H614" s="122"/>
      <c r="I614" s="82"/>
      <c r="J614" s="82"/>
      <c r="K614" s="82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2.75" customHeight="1" x14ac:dyDescent="0.25">
      <c r="A615" s="122"/>
      <c r="B615" s="122"/>
      <c r="C615" s="100"/>
      <c r="D615" s="123"/>
      <c r="E615" s="122"/>
      <c r="F615" s="122"/>
      <c r="G615" s="124"/>
      <c r="H615" s="122"/>
      <c r="I615" s="82"/>
      <c r="J615" s="82"/>
      <c r="K615" s="82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2.75" customHeight="1" x14ac:dyDescent="0.25">
      <c r="A616" s="122"/>
      <c r="B616" s="122"/>
      <c r="C616" s="100"/>
      <c r="D616" s="123"/>
      <c r="E616" s="122"/>
      <c r="F616" s="122"/>
      <c r="G616" s="124"/>
      <c r="H616" s="122"/>
      <c r="I616" s="82"/>
      <c r="J616" s="82"/>
      <c r="K616" s="82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2.75" customHeight="1" x14ac:dyDescent="0.25">
      <c r="A617" s="122"/>
      <c r="B617" s="122"/>
      <c r="C617" s="100"/>
      <c r="D617" s="123"/>
      <c r="E617" s="122"/>
      <c r="F617" s="122"/>
      <c r="G617" s="124"/>
      <c r="H617" s="122"/>
      <c r="I617" s="82"/>
      <c r="J617" s="82"/>
      <c r="K617" s="82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2.75" customHeight="1" x14ac:dyDescent="0.25">
      <c r="A618" s="122"/>
      <c r="B618" s="122"/>
      <c r="C618" s="100"/>
      <c r="D618" s="123"/>
      <c r="E618" s="122"/>
      <c r="F618" s="122"/>
      <c r="G618" s="124"/>
      <c r="H618" s="122"/>
      <c r="I618" s="82"/>
      <c r="J618" s="82"/>
      <c r="K618" s="82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2.75" customHeight="1" x14ac:dyDescent="0.25">
      <c r="A619" s="122"/>
      <c r="B619" s="122"/>
      <c r="C619" s="100"/>
      <c r="D619" s="123"/>
      <c r="E619" s="122"/>
      <c r="F619" s="122"/>
      <c r="G619" s="124"/>
      <c r="H619" s="122"/>
      <c r="I619" s="82"/>
      <c r="J619" s="82"/>
      <c r="K619" s="82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2.75" customHeight="1" x14ac:dyDescent="0.25">
      <c r="A620" s="122"/>
      <c r="B620" s="122"/>
      <c r="C620" s="100"/>
      <c r="D620" s="123"/>
      <c r="E620" s="122"/>
      <c r="F620" s="122"/>
      <c r="G620" s="124"/>
      <c r="H620" s="122"/>
      <c r="I620" s="82"/>
      <c r="J620" s="82"/>
      <c r="K620" s="82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2.75" customHeight="1" x14ac:dyDescent="0.25">
      <c r="A621" s="122"/>
      <c r="B621" s="122"/>
      <c r="C621" s="100"/>
      <c r="D621" s="123"/>
      <c r="E621" s="122"/>
      <c r="F621" s="122"/>
      <c r="G621" s="124"/>
      <c r="H621" s="122"/>
      <c r="I621" s="82"/>
      <c r="J621" s="82"/>
      <c r="K621" s="82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2.75" customHeight="1" x14ac:dyDescent="0.25">
      <c r="A622" s="122"/>
      <c r="B622" s="122"/>
      <c r="C622" s="100"/>
      <c r="D622" s="123"/>
      <c r="E622" s="122"/>
      <c r="F622" s="122"/>
      <c r="G622" s="124"/>
      <c r="H622" s="122"/>
      <c r="I622" s="82"/>
      <c r="J622" s="82"/>
      <c r="K622" s="82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2.75" customHeight="1" x14ac:dyDescent="0.25">
      <c r="A623" s="122"/>
      <c r="B623" s="122"/>
      <c r="C623" s="100"/>
      <c r="D623" s="123"/>
      <c r="E623" s="122"/>
      <c r="F623" s="122"/>
      <c r="G623" s="124"/>
      <c r="H623" s="122"/>
      <c r="I623" s="82"/>
      <c r="J623" s="82"/>
      <c r="K623" s="82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2.75" customHeight="1" x14ac:dyDescent="0.25">
      <c r="A624" s="122"/>
      <c r="B624" s="122"/>
      <c r="C624" s="100"/>
      <c r="D624" s="123"/>
      <c r="E624" s="122"/>
      <c r="F624" s="122"/>
      <c r="G624" s="124"/>
      <c r="H624" s="122"/>
      <c r="I624" s="82"/>
      <c r="J624" s="82"/>
      <c r="K624" s="82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2.75" customHeight="1" x14ac:dyDescent="0.25">
      <c r="A625" s="122"/>
      <c r="B625" s="122"/>
      <c r="C625" s="100"/>
      <c r="D625" s="123"/>
      <c r="E625" s="122"/>
      <c r="F625" s="122"/>
      <c r="G625" s="124"/>
      <c r="H625" s="122"/>
      <c r="I625" s="82"/>
      <c r="J625" s="82"/>
      <c r="K625" s="82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2.75" customHeight="1" x14ac:dyDescent="0.25">
      <c r="A626" s="122"/>
      <c r="B626" s="122"/>
      <c r="C626" s="100"/>
      <c r="D626" s="123"/>
      <c r="E626" s="122"/>
      <c r="F626" s="122"/>
      <c r="G626" s="124"/>
      <c r="H626" s="122"/>
      <c r="I626" s="82"/>
      <c r="J626" s="82"/>
      <c r="K626" s="82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2.75" customHeight="1" x14ac:dyDescent="0.25">
      <c r="A627" s="122"/>
      <c r="B627" s="122"/>
      <c r="C627" s="100"/>
      <c r="D627" s="123"/>
      <c r="E627" s="122"/>
      <c r="F627" s="122"/>
      <c r="G627" s="124"/>
      <c r="H627" s="122"/>
      <c r="I627" s="82"/>
      <c r="J627" s="82"/>
      <c r="K627" s="82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2.75" customHeight="1" x14ac:dyDescent="0.25">
      <c r="A628" s="122"/>
      <c r="B628" s="122"/>
      <c r="C628" s="100"/>
      <c r="D628" s="123"/>
      <c r="E628" s="122"/>
      <c r="F628" s="122"/>
      <c r="G628" s="124"/>
      <c r="H628" s="122"/>
      <c r="I628" s="82"/>
      <c r="J628" s="82"/>
      <c r="K628" s="82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2.75" customHeight="1" x14ac:dyDescent="0.25">
      <c r="A629" s="122"/>
      <c r="B629" s="122"/>
      <c r="C629" s="100"/>
      <c r="D629" s="123"/>
      <c r="E629" s="122"/>
      <c r="F629" s="122"/>
      <c r="G629" s="124"/>
      <c r="H629" s="122"/>
      <c r="I629" s="82"/>
      <c r="J629" s="82"/>
      <c r="K629" s="82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2.75" customHeight="1" x14ac:dyDescent="0.25">
      <c r="A630" s="122"/>
      <c r="B630" s="122"/>
      <c r="C630" s="100"/>
      <c r="D630" s="123"/>
      <c r="E630" s="122"/>
      <c r="F630" s="122"/>
      <c r="G630" s="124"/>
      <c r="H630" s="122"/>
      <c r="I630" s="82"/>
      <c r="J630" s="82"/>
      <c r="K630" s="82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2.75" customHeight="1" x14ac:dyDescent="0.25">
      <c r="A631" s="122"/>
      <c r="B631" s="122"/>
      <c r="C631" s="100"/>
      <c r="D631" s="123"/>
      <c r="E631" s="122"/>
      <c r="F631" s="122"/>
      <c r="G631" s="124"/>
      <c r="H631" s="122"/>
      <c r="I631" s="82"/>
      <c r="J631" s="82"/>
      <c r="K631" s="82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2.75" customHeight="1" x14ac:dyDescent="0.25">
      <c r="A632" s="122"/>
      <c r="B632" s="122"/>
      <c r="C632" s="100"/>
      <c r="D632" s="123"/>
      <c r="E632" s="122"/>
      <c r="F632" s="122"/>
      <c r="G632" s="124"/>
      <c r="H632" s="122"/>
      <c r="I632" s="82"/>
      <c r="J632" s="82"/>
      <c r="K632" s="82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2.75" customHeight="1" x14ac:dyDescent="0.25">
      <c r="A633" s="122"/>
      <c r="B633" s="122"/>
      <c r="C633" s="100"/>
      <c r="D633" s="123"/>
      <c r="E633" s="122"/>
      <c r="F633" s="122"/>
      <c r="G633" s="124"/>
      <c r="H633" s="122"/>
      <c r="I633" s="82"/>
      <c r="J633" s="82"/>
      <c r="K633" s="82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2.75" customHeight="1" x14ac:dyDescent="0.25">
      <c r="A634" s="122"/>
      <c r="B634" s="122"/>
      <c r="C634" s="100"/>
      <c r="D634" s="123"/>
      <c r="E634" s="122"/>
      <c r="F634" s="122"/>
      <c r="G634" s="124"/>
      <c r="H634" s="122"/>
      <c r="I634" s="82"/>
      <c r="J634" s="82"/>
      <c r="K634" s="82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2.75" customHeight="1" x14ac:dyDescent="0.25">
      <c r="A635" s="122"/>
      <c r="B635" s="122"/>
      <c r="C635" s="100"/>
      <c r="D635" s="123"/>
      <c r="E635" s="122"/>
      <c r="F635" s="122"/>
      <c r="G635" s="124"/>
      <c r="H635" s="122"/>
      <c r="I635" s="82"/>
      <c r="J635" s="82"/>
      <c r="K635" s="82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2.75" customHeight="1" x14ac:dyDescent="0.25">
      <c r="A636" s="122"/>
      <c r="B636" s="122"/>
      <c r="C636" s="100"/>
      <c r="D636" s="123"/>
      <c r="E636" s="122"/>
      <c r="F636" s="122"/>
      <c r="G636" s="124"/>
      <c r="H636" s="122"/>
      <c r="I636" s="82"/>
      <c r="J636" s="82"/>
      <c r="K636" s="82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2.75" customHeight="1" x14ac:dyDescent="0.25">
      <c r="A637" s="122"/>
      <c r="B637" s="122"/>
      <c r="C637" s="100"/>
      <c r="D637" s="123"/>
      <c r="E637" s="122"/>
      <c r="F637" s="122"/>
      <c r="G637" s="124"/>
      <c r="H637" s="122"/>
      <c r="I637" s="82"/>
      <c r="J637" s="82"/>
      <c r="K637" s="82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2.75" customHeight="1" x14ac:dyDescent="0.25">
      <c r="A638" s="122"/>
      <c r="B638" s="122"/>
      <c r="C638" s="100"/>
      <c r="D638" s="123"/>
      <c r="E638" s="122"/>
      <c r="F638" s="122"/>
      <c r="G638" s="124"/>
      <c r="H638" s="122"/>
      <c r="I638" s="82"/>
      <c r="J638" s="82"/>
      <c r="K638" s="82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2.75" customHeight="1" x14ac:dyDescent="0.25">
      <c r="A639" s="122"/>
      <c r="B639" s="122"/>
      <c r="C639" s="100"/>
      <c r="D639" s="123"/>
      <c r="E639" s="122"/>
      <c r="F639" s="122"/>
      <c r="G639" s="124"/>
      <c r="H639" s="122"/>
      <c r="I639" s="82"/>
      <c r="J639" s="82"/>
      <c r="K639" s="82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2.75" customHeight="1" x14ac:dyDescent="0.25">
      <c r="A640" s="122"/>
      <c r="B640" s="122"/>
      <c r="C640" s="100"/>
      <c r="D640" s="123"/>
      <c r="E640" s="122"/>
      <c r="F640" s="122"/>
      <c r="G640" s="124"/>
      <c r="H640" s="122"/>
      <c r="I640" s="82"/>
      <c r="J640" s="82"/>
      <c r="K640" s="82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2.75" customHeight="1" x14ac:dyDescent="0.25">
      <c r="A641" s="122"/>
      <c r="B641" s="122"/>
      <c r="C641" s="100"/>
      <c r="D641" s="123"/>
      <c r="E641" s="122"/>
      <c r="F641" s="122"/>
      <c r="G641" s="124"/>
      <c r="H641" s="122"/>
      <c r="I641" s="82"/>
      <c r="J641" s="82"/>
      <c r="K641" s="82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2.75" customHeight="1" x14ac:dyDescent="0.25">
      <c r="A642" s="122"/>
      <c r="B642" s="122"/>
      <c r="C642" s="100"/>
      <c r="D642" s="123"/>
      <c r="E642" s="122"/>
      <c r="F642" s="122"/>
      <c r="G642" s="124"/>
      <c r="H642" s="122"/>
      <c r="I642" s="82"/>
      <c r="J642" s="82"/>
      <c r="K642" s="82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2.75" customHeight="1" x14ac:dyDescent="0.25">
      <c r="A643" s="122"/>
      <c r="B643" s="122"/>
      <c r="C643" s="100"/>
      <c r="D643" s="123"/>
      <c r="E643" s="122"/>
      <c r="F643" s="122"/>
      <c r="G643" s="124"/>
      <c r="H643" s="122"/>
      <c r="I643" s="82"/>
      <c r="J643" s="82"/>
      <c r="K643" s="82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2.75" customHeight="1" x14ac:dyDescent="0.25">
      <c r="A644" s="122"/>
      <c r="B644" s="122"/>
      <c r="C644" s="100"/>
      <c r="D644" s="123"/>
      <c r="E644" s="122"/>
      <c r="F644" s="122"/>
      <c r="G644" s="124"/>
      <c r="H644" s="122"/>
      <c r="I644" s="82"/>
      <c r="J644" s="82"/>
      <c r="K644" s="82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2.75" customHeight="1" x14ac:dyDescent="0.25">
      <c r="A645" s="122"/>
      <c r="B645" s="122"/>
      <c r="C645" s="100"/>
      <c r="D645" s="123"/>
      <c r="E645" s="122"/>
      <c r="F645" s="122"/>
      <c r="G645" s="124"/>
      <c r="H645" s="122"/>
      <c r="I645" s="82"/>
      <c r="J645" s="82"/>
      <c r="K645" s="82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2.75" customHeight="1" x14ac:dyDescent="0.25">
      <c r="A646" s="122"/>
      <c r="B646" s="122"/>
      <c r="C646" s="100"/>
      <c r="D646" s="123"/>
      <c r="E646" s="122"/>
      <c r="F646" s="122"/>
      <c r="G646" s="124"/>
      <c r="H646" s="122"/>
      <c r="I646" s="82"/>
      <c r="J646" s="82"/>
      <c r="K646" s="82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2.75" customHeight="1" x14ac:dyDescent="0.25">
      <c r="A647" s="122"/>
      <c r="B647" s="122"/>
      <c r="C647" s="100"/>
      <c r="D647" s="123"/>
      <c r="E647" s="122"/>
      <c r="F647" s="122"/>
      <c r="G647" s="124"/>
      <c r="H647" s="122"/>
      <c r="I647" s="82"/>
      <c r="J647" s="82"/>
      <c r="K647" s="82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2.75" customHeight="1" x14ac:dyDescent="0.25">
      <c r="A648" s="122"/>
      <c r="B648" s="122"/>
      <c r="C648" s="100"/>
      <c r="D648" s="123"/>
      <c r="E648" s="122"/>
      <c r="F648" s="122"/>
      <c r="G648" s="124"/>
      <c r="H648" s="122"/>
      <c r="I648" s="82"/>
      <c r="J648" s="82"/>
      <c r="K648" s="82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2.75" customHeight="1" x14ac:dyDescent="0.25">
      <c r="A649" s="122"/>
      <c r="B649" s="122"/>
      <c r="C649" s="100"/>
      <c r="D649" s="123"/>
      <c r="E649" s="122"/>
      <c r="F649" s="122"/>
      <c r="G649" s="124"/>
      <c r="H649" s="122"/>
      <c r="I649" s="82"/>
      <c r="J649" s="82"/>
      <c r="K649" s="82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2.75" customHeight="1" x14ac:dyDescent="0.25">
      <c r="A650" s="122"/>
      <c r="B650" s="122"/>
      <c r="C650" s="100"/>
      <c r="D650" s="123"/>
      <c r="E650" s="122"/>
      <c r="F650" s="122"/>
      <c r="G650" s="124"/>
      <c r="H650" s="122"/>
      <c r="I650" s="82"/>
      <c r="J650" s="82"/>
      <c r="K650" s="82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2.75" customHeight="1" x14ac:dyDescent="0.25">
      <c r="A651" s="122"/>
      <c r="B651" s="122"/>
      <c r="C651" s="100"/>
      <c r="D651" s="123"/>
      <c r="E651" s="122"/>
      <c r="F651" s="122"/>
      <c r="G651" s="124"/>
      <c r="H651" s="122"/>
      <c r="I651" s="82"/>
      <c r="J651" s="82"/>
      <c r="K651" s="82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2.75" customHeight="1" x14ac:dyDescent="0.25">
      <c r="A652" s="122"/>
      <c r="B652" s="122"/>
      <c r="C652" s="100"/>
      <c r="D652" s="123"/>
      <c r="E652" s="122"/>
      <c r="F652" s="122"/>
      <c r="G652" s="124"/>
      <c r="H652" s="122"/>
      <c r="I652" s="82"/>
      <c r="J652" s="82"/>
      <c r="K652" s="82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2.75" customHeight="1" x14ac:dyDescent="0.25">
      <c r="A653" s="122"/>
      <c r="B653" s="122"/>
      <c r="C653" s="100"/>
      <c r="D653" s="123"/>
      <c r="E653" s="122"/>
      <c r="F653" s="122"/>
      <c r="G653" s="124"/>
      <c r="H653" s="122"/>
      <c r="I653" s="82"/>
      <c r="J653" s="82"/>
      <c r="K653" s="82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2.75" customHeight="1" x14ac:dyDescent="0.25">
      <c r="A654" s="122"/>
      <c r="B654" s="122"/>
      <c r="C654" s="100"/>
      <c r="D654" s="123"/>
      <c r="E654" s="122"/>
      <c r="F654" s="122"/>
      <c r="G654" s="124"/>
      <c r="H654" s="122"/>
      <c r="I654" s="82"/>
      <c r="J654" s="82"/>
      <c r="K654" s="82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2.75" customHeight="1" x14ac:dyDescent="0.25">
      <c r="A655" s="122"/>
      <c r="B655" s="122"/>
      <c r="C655" s="100"/>
      <c r="D655" s="123"/>
      <c r="E655" s="122"/>
      <c r="F655" s="122"/>
      <c r="G655" s="124"/>
      <c r="H655" s="122"/>
      <c r="I655" s="82"/>
      <c r="J655" s="82"/>
      <c r="K655" s="82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2.75" customHeight="1" x14ac:dyDescent="0.25">
      <c r="A656" s="122"/>
      <c r="B656" s="122"/>
      <c r="C656" s="100"/>
      <c r="D656" s="123"/>
      <c r="E656" s="122"/>
      <c r="F656" s="122"/>
      <c r="G656" s="124"/>
      <c r="H656" s="122"/>
      <c r="I656" s="82"/>
      <c r="J656" s="82"/>
      <c r="K656" s="82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2.75" customHeight="1" x14ac:dyDescent="0.25">
      <c r="A657" s="122"/>
      <c r="B657" s="122"/>
      <c r="C657" s="100"/>
      <c r="D657" s="123"/>
      <c r="E657" s="122"/>
      <c r="F657" s="122"/>
      <c r="G657" s="124"/>
      <c r="H657" s="122"/>
      <c r="I657" s="82"/>
      <c r="J657" s="82"/>
      <c r="K657" s="82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2.75" customHeight="1" x14ac:dyDescent="0.25">
      <c r="A658" s="122"/>
      <c r="B658" s="122"/>
      <c r="C658" s="100"/>
      <c r="D658" s="123"/>
      <c r="E658" s="122"/>
      <c r="F658" s="122"/>
      <c r="G658" s="124"/>
      <c r="H658" s="122"/>
      <c r="I658" s="82"/>
      <c r="J658" s="82"/>
      <c r="K658" s="82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2.75" customHeight="1" x14ac:dyDescent="0.25">
      <c r="A659" s="122"/>
      <c r="B659" s="122"/>
      <c r="C659" s="100"/>
      <c r="D659" s="123"/>
      <c r="E659" s="122"/>
      <c r="F659" s="122"/>
      <c r="G659" s="124"/>
      <c r="H659" s="122"/>
      <c r="I659" s="82"/>
      <c r="J659" s="82"/>
      <c r="K659" s="82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2.75" customHeight="1" x14ac:dyDescent="0.25">
      <c r="A660" s="122"/>
      <c r="B660" s="122"/>
      <c r="C660" s="100"/>
      <c r="D660" s="123"/>
      <c r="E660" s="122"/>
      <c r="F660" s="122"/>
      <c r="G660" s="124"/>
      <c r="H660" s="122"/>
      <c r="I660" s="82"/>
      <c r="J660" s="82"/>
      <c r="K660" s="82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2.75" customHeight="1" x14ac:dyDescent="0.25">
      <c r="A661" s="122"/>
      <c r="B661" s="122"/>
      <c r="C661" s="100"/>
      <c r="D661" s="123"/>
      <c r="E661" s="122"/>
      <c r="F661" s="122"/>
      <c r="G661" s="124"/>
      <c r="H661" s="122"/>
      <c r="I661" s="82"/>
      <c r="J661" s="82"/>
      <c r="K661" s="82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2.75" customHeight="1" x14ac:dyDescent="0.25">
      <c r="A662" s="122"/>
      <c r="B662" s="122"/>
      <c r="C662" s="100"/>
      <c r="D662" s="123"/>
      <c r="E662" s="122"/>
      <c r="F662" s="122"/>
      <c r="G662" s="124"/>
      <c r="H662" s="122"/>
      <c r="I662" s="82"/>
      <c r="J662" s="82"/>
      <c r="K662" s="82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2.75" customHeight="1" x14ac:dyDescent="0.25">
      <c r="A663" s="122"/>
      <c r="B663" s="122"/>
      <c r="C663" s="100"/>
      <c r="D663" s="123"/>
      <c r="E663" s="122"/>
      <c r="F663" s="122"/>
      <c r="G663" s="124"/>
      <c r="H663" s="122"/>
      <c r="I663" s="82"/>
      <c r="J663" s="82"/>
      <c r="K663" s="82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2.75" customHeight="1" x14ac:dyDescent="0.25">
      <c r="A664" s="122"/>
      <c r="B664" s="122"/>
      <c r="C664" s="100"/>
      <c r="D664" s="123"/>
      <c r="E664" s="122"/>
      <c r="F664" s="122"/>
      <c r="G664" s="124"/>
      <c r="H664" s="122"/>
      <c r="I664" s="82"/>
      <c r="J664" s="82"/>
      <c r="K664" s="82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2.75" customHeight="1" x14ac:dyDescent="0.25">
      <c r="A665" s="122"/>
      <c r="B665" s="122"/>
      <c r="C665" s="100"/>
      <c r="D665" s="123"/>
      <c r="E665" s="122"/>
      <c r="F665" s="122"/>
      <c r="G665" s="124"/>
      <c r="H665" s="122"/>
      <c r="I665" s="82"/>
      <c r="J665" s="82"/>
      <c r="K665" s="82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2.75" customHeight="1" x14ac:dyDescent="0.25">
      <c r="A666" s="122"/>
      <c r="B666" s="122"/>
      <c r="C666" s="100"/>
      <c r="D666" s="123"/>
      <c r="E666" s="122"/>
      <c r="F666" s="122"/>
      <c r="G666" s="124"/>
      <c r="H666" s="122"/>
      <c r="I666" s="82"/>
      <c r="J666" s="82"/>
      <c r="K666" s="82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2.75" customHeight="1" x14ac:dyDescent="0.25">
      <c r="A667" s="122"/>
      <c r="B667" s="122"/>
      <c r="C667" s="100"/>
      <c r="D667" s="123"/>
      <c r="E667" s="122"/>
      <c r="F667" s="122"/>
      <c r="G667" s="124"/>
      <c r="H667" s="122"/>
      <c r="I667" s="82"/>
      <c r="J667" s="82"/>
      <c r="K667" s="82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2.75" customHeight="1" x14ac:dyDescent="0.25">
      <c r="A668" s="122"/>
      <c r="B668" s="122"/>
      <c r="C668" s="100"/>
      <c r="D668" s="123"/>
      <c r="E668" s="122"/>
      <c r="F668" s="122"/>
      <c r="G668" s="124"/>
      <c r="H668" s="122"/>
      <c r="I668" s="82"/>
      <c r="J668" s="82"/>
      <c r="K668" s="82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2.75" customHeight="1" x14ac:dyDescent="0.25">
      <c r="A669" s="122"/>
      <c r="B669" s="122"/>
      <c r="C669" s="100"/>
      <c r="D669" s="123"/>
      <c r="E669" s="122"/>
      <c r="F669" s="122"/>
      <c r="G669" s="124"/>
      <c r="H669" s="122"/>
      <c r="I669" s="82"/>
      <c r="J669" s="82"/>
      <c r="K669" s="82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2.75" customHeight="1" x14ac:dyDescent="0.25">
      <c r="A670" s="122"/>
      <c r="B670" s="122"/>
      <c r="C670" s="100"/>
      <c r="D670" s="123"/>
      <c r="E670" s="122"/>
      <c r="F670" s="122"/>
      <c r="G670" s="124"/>
      <c r="H670" s="122"/>
      <c r="I670" s="82"/>
      <c r="J670" s="82"/>
      <c r="K670" s="82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2.75" customHeight="1" x14ac:dyDescent="0.25">
      <c r="A671" s="122"/>
      <c r="B671" s="122"/>
      <c r="C671" s="100"/>
      <c r="D671" s="123"/>
      <c r="E671" s="122"/>
      <c r="F671" s="122"/>
      <c r="G671" s="124"/>
      <c r="H671" s="122"/>
      <c r="I671" s="82"/>
      <c r="J671" s="82"/>
      <c r="K671" s="82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2.75" customHeight="1" x14ac:dyDescent="0.25">
      <c r="A672" s="122"/>
      <c r="B672" s="122"/>
      <c r="C672" s="100"/>
      <c r="D672" s="123"/>
      <c r="E672" s="122"/>
      <c r="F672" s="122"/>
      <c r="G672" s="124"/>
      <c r="H672" s="122"/>
      <c r="I672" s="82"/>
      <c r="J672" s="82"/>
      <c r="K672" s="82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2.75" customHeight="1" x14ac:dyDescent="0.25">
      <c r="A673" s="122"/>
      <c r="B673" s="122"/>
      <c r="C673" s="100"/>
      <c r="D673" s="123"/>
      <c r="E673" s="122"/>
      <c r="F673" s="122"/>
      <c r="G673" s="124"/>
      <c r="H673" s="122"/>
      <c r="I673" s="82"/>
      <c r="J673" s="82"/>
      <c r="K673" s="82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2.75" customHeight="1" x14ac:dyDescent="0.25">
      <c r="A674" s="122"/>
      <c r="B674" s="122"/>
      <c r="C674" s="100"/>
      <c r="D674" s="123"/>
      <c r="E674" s="122"/>
      <c r="F674" s="122"/>
      <c r="G674" s="124"/>
      <c r="H674" s="122"/>
      <c r="I674" s="82"/>
      <c r="J674" s="82"/>
      <c r="K674" s="82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2.75" customHeight="1" x14ac:dyDescent="0.25">
      <c r="A675" s="122"/>
      <c r="B675" s="122"/>
      <c r="C675" s="100"/>
      <c r="D675" s="123"/>
      <c r="E675" s="122"/>
      <c r="F675" s="122"/>
      <c r="G675" s="124"/>
      <c r="H675" s="122"/>
      <c r="I675" s="82"/>
      <c r="J675" s="82"/>
      <c r="K675" s="82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2.75" customHeight="1" x14ac:dyDescent="0.25">
      <c r="A676" s="122"/>
      <c r="B676" s="122"/>
      <c r="C676" s="100"/>
      <c r="D676" s="123"/>
      <c r="E676" s="122"/>
      <c r="F676" s="122"/>
      <c r="G676" s="124"/>
      <c r="H676" s="122"/>
      <c r="I676" s="82"/>
      <c r="J676" s="82"/>
      <c r="K676" s="82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2.75" customHeight="1" x14ac:dyDescent="0.25">
      <c r="A677" s="122"/>
      <c r="B677" s="122"/>
      <c r="C677" s="100"/>
      <c r="D677" s="123"/>
      <c r="E677" s="122"/>
      <c r="F677" s="122"/>
      <c r="G677" s="124"/>
      <c r="H677" s="122"/>
      <c r="I677" s="82"/>
      <c r="J677" s="82"/>
      <c r="K677" s="82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2.75" customHeight="1" x14ac:dyDescent="0.25">
      <c r="A678" s="122"/>
      <c r="B678" s="122"/>
      <c r="C678" s="100"/>
      <c r="D678" s="123"/>
      <c r="E678" s="122"/>
      <c r="F678" s="122"/>
      <c r="G678" s="124"/>
      <c r="H678" s="122"/>
      <c r="I678" s="82"/>
      <c r="J678" s="82"/>
      <c r="K678" s="82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2.75" customHeight="1" x14ac:dyDescent="0.25">
      <c r="A679" s="122"/>
      <c r="B679" s="122"/>
      <c r="C679" s="100"/>
      <c r="D679" s="123"/>
      <c r="E679" s="122"/>
      <c r="F679" s="122"/>
      <c r="G679" s="124"/>
      <c r="H679" s="122"/>
      <c r="I679" s="82"/>
      <c r="J679" s="82"/>
      <c r="K679" s="82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2.75" customHeight="1" x14ac:dyDescent="0.25">
      <c r="A680" s="122"/>
      <c r="B680" s="122"/>
      <c r="C680" s="100"/>
      <c r="D680" s="123"/>
      <c r="E680" s="122"/>
      <c r="F680" s="122"/>
      <c r="G680" s="124"/>
      <c r="H680" s="122"/>
      <c r="I680" s="82"/>
      <c r="J680" s="82"/>
      <c r="K680" s="82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2.75" customHeight="1" x14ac:dyDescent="0.25">
      <c r="A681" s="122"/>
      <c r="B681" s="122"/>
      <c r="C681" s="100"/>
      <c r="D681" s="123"/>
      <c r="E681" s="122"/>
      <c r="F681" s="122"/>
      <c r="G681" s="124"/>
      <c r="H681" s="122"/>
      <c r="I681" s="82"/>
      <c r="J681" s="82"/>
      <c r="K681" s="82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2.75" customHeight="1" x14ac:dyDescent="0.25">
      <c r="A682" s="122"/>
      <c r="B682" s="122"/>
      <c r="C682" s="100"/>
      <c r="D682" s="123"/>
      <c r="E682" s="122"/>
      <c r="F682" s="122"/>
      <c r="G682" s="124"/>
      <c r="H682" s="122"/>
      <c r="I682" s="82"/>
      <c r="J682" s="82"/>
      <c r="K682" s="82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2.75" customHeight="1" x14ac:dyDescent="0.25">
      <c r="A683" s="122"/>
      <c r="B683" s="122"/>
      <c r="C683" s="100"/>
      <c r="D683" s="123"/>
      <c r="E683" s="122"/>
      <c r="F683" s="122"/>
      <c r="G683" s="124"/>
      <c r="H683" s="122"/>
      <c r="I683" s="82"/>
      <c r="J683" s="82"/>
      <c r="K683" s="82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2.75" customHeight="1" x14ac:dyDescent="0.25">
      <c r="A684" s="122"/>
      <c r="B684" s="122"/>
      <c r="C684" s="100"/>
      <c r="D684" s="123"/>
      <c r="E684" s="122"/>
      <c r="F684" s="122"/>
      <c r="G684" s="124"/>
      <c r="H684" s="122"/>
      <c r="I684" s="82"/>
      <c r="J684" s="82"/>
      <c r="K684" s="82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2.75" customHeight="1" x14ac:dyDescent="0.25">
      <c r="A685" s="122"/>
      <c r="B685" s="122"/>
      <c r="C685" s="100"/>
      <c r="D685" s="123"/>
      <c r="E685" s="122"/>
      <c r="F685" s="122"/>
      <c r="G685" s="124"/>
      <c r="H685" s="122"/>
      <c r="I685" s="82"/>
      <c r="J685" s="82"/>
      <c r="K685" s="82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2.75" customHeight="1" x14ac:dyDescent="0.25">
      <c r="A686" s="122"/>
      <c r="B686" s="122"/>
      <c r="C686" s="100"/>
      <c r="D686" s="123"/>
      <c r="E686" s="122"/>
      <c r="F686" s="122"/>
      <c r="G686" s="124"/>
      <c r="H686" s="122"/>
      <c r="I686" s="82"/>
      <c r="J686" s="82"/>
      <c r="K686" s="82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2.75" customHeight="1" x14ac:dyDescent="0.25">
      <c r="A687" s="122"/>
      <c r="B687" s="122"/>
      <c r="C687" s="100"/>
      <c r="D687" s="123"/>
      <c r="E687" s="122"/>
      <c r="F687" s="122"/>
      <c r="G687" s="124"/>
      <c r="H687" s="122"/>
      <c r="I687" s="82"/>
      <c r="J687" s="82"/>
      <c r="K687" s="82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2.75" customHeight="1" x14ac:dyDescent="0.25">
      <c r="A688" s="122"/>
      <c r="B688" s="122"/>
      <c r="C688" s="100"/>
      <c r="D688" s="123"/>
      <c r="E688" s="122"/>
      <c r="F688" s="122"/>
      <c r="G688" s="124"/>
      <c r="H688" s="122"/>
      <c r="I688" s="82"/>
      <c r="J688" s="82"/>
      <c r="K688" s="82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2.75" customHeight="1" x14ac:dyDescent="0.25">
      <c r="A689" s="122"/>
      <c r="B689" s="122"/>
      <c r="C689" s="100"/>
      <c r="D689" s="123"/>
      <c r="E689" s="122"/>
      <c r="F689" s="122"/>
      <c r="G689" s="124"/>
      <c r="H689" s="122"/>
      <c r="I689" s="82"/>
      <c r="J689" s="82"/>
      <c r="K689" s="82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2.75" customHeight="1" x14ac:dyDescent="0.25">
      <c r="A690" s="122"/>
      <c r="B690" s="122"/>
      <c r="C690" s="100"/>
      <c r="D690" s="123"/>
      <c r="E690" s="122"/>
      <c r="F690" s="122"/>
      <c r="G690" s="124"/>
      <c r="H690" s="122"/>
      <c r="I690" s="82"/>
      <c r="J690" s="82"/>
      <c r="K690" s="82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2.75" customHeight="1" x14ac:dyDescent="0.25">
      <c r="A691" s="122"/>
      <c r="B691" s="122"/>
      <c r="C691" s="100"/>
      <c r="D691" s="123"/>
      <c r="E691" s="122"/>
      <c r="F691" s="122"/>
      <c r="G691" s="124"/>
      <c r="H691" s="122"/>
      <c r="I691" s="82"/>
      <c r="J691" s="82"/>
      <c r="K691" s="82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2.75" customHeight="1" x14ac:dyDescent="0.25">
      <c r="A692" s="122"/>
      <c r="B692" s="122"/>
      <c r="C692" s="100"/>
      <c r="D692" s="123"/>
      <c r="E692" s="122"/>
      <c r="F692" s="122"/>
      <c r="G692" s="124"/>
      <c r="H692" s="122"/>
      <c r="I692" s="82"/>
      <c r="J692" s="82"/>
      <c r="K692" s="82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2.75" customHeight="1" x14ac:dyDescent="0.25">
      <c r="A693" s="122"/>
      <c r="B693" s="122"/>
      <c r="C693" s="100"/>
      <c r="D693" s="123"/>
      <c r="E693" s="122"/>
      <c r="F693" s="122"/>
      <c r="G693" s="124"/>
      <c r="H693" s="122"/>
      <c r="I693" s="82"/>
      <c r="J693" s="82"/>
      <c r="K693" s="82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2.75" customHeight="1" x14ac:dyDescent="0.25">
      <c r="A694" s="122"/>
      <c r="B694" s="122"/>
      <c r="C694" s="100"/>
      <c r="D694" s="123"/>
      <c r="E694" s="122"/>
      <c r="F694" s="122"/>
      <c r="G694" s="124"/>
      <c r="H694" s="122"/>
      <c r="I694" s="82"/>
      <c r="J694" s="82"/>
      <c r="K694" s="82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2.75" customHeight="1" x14ac:dyDescent="0.25">
      <c r="A695" s="122"/>
      <c r="B695" s="122"/>
      <c r="C695" s="100"/>
      <c r="D695" s="123"/>
      <c r="E695" s="122"/>
      <c r="F695" s="122"/>
      <c r="G695" s="124"/>
      <c r="H695" s="122"/>
      <c r="I695" s="82"/>
      <c r="J695" s="82"/>
      <c r="K695" s="82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2.75" customHeight="1" x14ac:dyDescent="0.25">
      <c r="A696" s="122"/>
      <c r="B696" s="122"/>
      <c r="C696" s="100"/>
      <c r="D696" s="123"/>
      <c r="E696" s="122"/>
      <c r="F696" s="122"/>
      <c r="G696" s="124"/>
      <c r="H696" s="122"/>
      <c r="I696" s="82"/>
      <c r="J696" s="82"/>
      <c r="K696" s="82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2.75" customHeight="1" x14ac:dyDescent="0.25">
      <c r="A697" s="122"/>
      <c r="B697" s="122"/>
      <c r="C697" s="100"/>
      <c r="D697" s="123"/>
      <c r="E697" s="122"/>
      <c r="F697" s="122"/>
      <c r="G697" s="124"/>
      <c r="H697" s="122"/>
      <c r="I697" s="82"/>
      <c r="J697" s="82"/>
      <c r="K697" s="82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2.75" customHeight="1" x14ac:dyDescent="0.25">
      <c r="A698" s="122"/>
      <c r="B698" s="122"/>
      <c r="C698" s="100"/>
      <c r="D698" s="123"/>
      <c r="E698" s="122"/>
      <c r="F698" s="122"/>
      <c r="G698" s="124"/>
      <c r="H698" s="122"/>
      <c r="I698" s="82"/>
      <c r="J698" s="82"/>
      <c r="K698" s="82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2.75" customHeight="1" x14ac:dyDescent="0.25">
      <c r="A699" s="122"/>
      <c r="B699" s="122"/>
      <c r="C699" s="100"/>
      <c r="D699" s="123"/>
      <c r="E699" s="122"/>
      <c r="F699" s="122"/>
      <c r="G699" s="124"/>
      <c r="H699" s="122"/>
      <c r="I699" s="82"/>
      <c r="J699" s="82"/>
      <c r="K699" s="82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2.75" customHeight="1" x14ac:dyDescent="0.25">
      <c r="A700" s="122"/>
      <c r="B700" s="122"/>
      <c r="C700" s="100"/>
      <c r="D700" s="123"/>
      <c r="E700" s="122"/>
      <c r="F700" s="122"/>
      <c r="G700" s="124"/>
      <c r="H700" s="122"/>
      <c r="I700" s="82"/>
      <c r="J700" s="82"/>
      <c r="K700" s="82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2.75" customHeight="1" x14ac:dyDescent="0.25">
      <c r="A701" s="122"/>
      <c r="B701" s="122"/>
      <c r="C701" s="100"/>
      <c r="D701" s="123"/>
      <c r="E701" s="122"/>
      <c r="F701" s="122"/>
      <c r="G701" s="124"/>
      <c r="H701" s="122"/>
      <c r="I701" s="82"/>
      <c r="J701" s="82"/>
      <c r="K701" s="82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2.75" customHeight="1" x14ac:dyDescent="0.25">
      <c r="A702" s="122"/>
      <c r="B702" s="122"/>
      <c r="C702" s="100"/>
      <c r="D702" s="123"/>
      <c r="E702" s="122"/>
      <c r="F702" s="122"/>
      <c r="G702" s="124"/>
      <c r="H702" s="122"/>
      <c r="I702" s="82"/>
      <c r="J702" s="82"/>
      <c r="K702" s="82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2.75" customHeight="1" x14ac:dyDescent="0.25">
      <c r="A703" s="122"/>
      <c r="B703" s="122"/>
      <c r="C703" s="100"/>
      <c r="D703" s="123"/>
      <c r="E703" s="122"/>
      <c r="F703" s="122"/>
      <c r="G703" s="124"/>
      <c r="H703" s="122"/>
      <c r="I703" s="82"/>
      <c r="J703" s="82"/>
      <c r="K703" s="82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2.75" customHeight="1" x14ac:dyDescent="0.25">
      <c r="A704" s="122"/>
      <c r="B704" s="122"/>
      <c r="C704" s="100"/>
      <c r="D704" s="123"/>
      <c r="E704" s="122"/>
      <c r="F704" s="122"/>
      <c r="G704" s="124"/>
      <c r="H704" s="122"/>
      <c r="I704" s="82"/>
      <c r="J704" s="82"/>
      <c r="K704" s="82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2.75" customHeight="1" x14ac:dyDescent="0.25">
      <c r="A705" s="122"/>
      <c r="B705" s="122"/>
      <c r="C705" s="100"/>
      <c r="D705" s="123"/>
      <c r="E705" s="122"/>
      <c r="F705" s="122"/>
      <c r="G705" s="124"/>
      <c r="H705" s="122"/>
      <c r="I705" s="82"/>
      <c r="J705" s="82"/>
      <c r="K705" s="82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2.75" customHeight="1" x14ac:dyDescent="0.25">
      <c r="A706" s="122"/>
      <c r="B706" s="122"/>
      <c r="C706" s="100"/>
      <c r="D706" s="123"/>
      <c r="E706" s="122"/>
      <c r="F706" s="122"/>
      <c r="G706" s="124"/>
      <c r="H706" s="122"/>
      <c r="I706" s="82"/>
      <c r="J706" s="82"/>
      <c r="K706" s="82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2.75" customHeight="1" x14ac:dyDescent="0.25">
      <c r="A707" s="122"/>
      <c r="B707" s="122"/>
      <c r="C707" s="100"/>
      <c r="D707" s="123"/>
      <c r="E707" s="122"/>
      <c r="F707" s="122"/>
      <c r="G707" s="124"/>
      <c r="H707" s="122"/>
      <c r="I707" s="82"/>
      <c r="J707" s="82"/>
      <c r="K707" s="82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2.75" customHeight="1" x14ac:dyDescent="0.25">
      <c r="A708" s="122"/>
      <c r="B708" s="122"/>
      <c r="C708" s="100"/>
      <c r="D708" s="123"/>
      <c r="E708" s="122"/>
      <c r="F708" s="122"/>
      <c r="G708" s="124"/>
      <c r="H708" s="122"/>
      <c r="I708" s="82"/>
      <c r="J708" s="82"/>
      <c r="K708" s="82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2.75" customHeight="1" x14ac:dyDescent="0.25">
      <c r="A709" s="122"/>
      <c r="B709" s="122"/>
      <c r="C709" s="100"/>
      <c r="D709" s="123"/>
      <c r="E709" s="122"/>
      <c r="F709" s="122"/>
      <c r="G709" s="124"/>
      <c r="H709" s="122"/>
      <c r="I709" s="82"/>
      <c r="J709" s="82"/>
      <c r="K709" s="82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2.75" customHeight="1" x14ac:dyDescent="0.25">
      <c r="A710" s="122"/>
      <c r="B710" s="122"/>
      <c r="C710" s="100"/>
      <c r="D710" s="123"/>
      <c r="E710" s="122"/>
      <c r="F710" s="122"/>
      <c r="G710" s="124"/>
      <c r="H710" s="122"/>
      <c r="I710" s="82"/>
      <c r="J710" s="82"/>
      <c r="K710" s="82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2.75" customHeight="1" x14ac:dyDescent="0.25">
      <c r="A711" s="122"/>
      <c r="B711" s="122"/>
      <c r="C711" s="100"/>
      <c r="D711" s="123"/>
      <c r="E711" s="122"/>
      <c r="F711" s="122"/>
      <c r="G711" s="124"/>
      <c r="H711" s="122"/>
      <c r="I711" s="82"/>
      <c r="J711" s="82"/>
      <c r="K711" s="82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2.75" customHeight="1" x14ac:dyDescent="0.25">
      <c r="A712" s="122"/>
      <c r="B712" s="122"/>
      <c r="C712" s="100"/>
      <c r="D712" s="123"/>
      <c r="E712" s="122"/>
      <c r="F712" s="122"/>
      <c r="G712" s="124"/>
      <c r="H712" s="122"/>
      <c r="I712" s="82"/>
      <c r="J712" s="82"/>
      <c r="K712" s="82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2.75" customHeight="1" x14ac:dyDescent="0.25">
      <c r="A713" s="122"/>
      <c r="B713" s="122"/>
      <c r="C713" s="100"/>
      <c r="D713" s="123"/>
      <c r="E713" s="122"/>
      <c r="F713" s="122"/>
      <c r="G713" s="124"/>
      <c r="H713" s="122"/>
      <c r="I713" s="82"/>
      <c r="J713" s="82"/>
      <c r="K713" s="82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2.75" customHeight="1" x14ac:dyDescent="0.25">
      <c r="A714" s="122"/>
      <c r="B714" s="122"/>
      <c r="C714" s="100"/>
      <c r="D714" s="123"/>
      <c r="E714" s="122"/>
      <c r="F714" s="122"/>
      <c r="G714" s="124"/>
      <c r="H714" s="122"/>
      <c r="I714" s="82"/>
      <c r="J714" s="82"/>
      <c r="K714" s="82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2.75" customHeight="1" x14ac:dyDescent="0.25">
      <c r="A715" s="122"/>
      <c r="B715" s="122"/>
      <c r="C715" s="100"/>
      <c r="D715" s="123"/>
      <c r="E715" s="122"/>
      <c r="F715" s="122"/>
      <c r="G715" s="124"/>
      <c r="H715" s="122"/>
      <c r="I715" s="82"/>
      <c r="J715" s="82"/>
      <c r="K715" s="82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2.75" customHeight="1" x14ac:dyDescent="0.25">
      <c r="A716" s="122"/>
      <c r="B716" s="122"/>
      <c r="C716" s="100"/>
      <c r="D716" s="123"/>
      <c r="E716" s="122"/>
      <c r="F716" s="122"/>
      <c r="G716" s="124"/>
      <c r="H716" s="122"/>
      <c r="I716" s="82"/>
      <c r="J716" s="82"/>
      <c r="K716" s="82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2.75" customHeight="1" x14ac:dyDescent="0.25">
      <c r="A717" s="122"/>
      <c r="B717" s="122"/>
      <c r="C717" s="100"/>
      <c r="D717" s="123"/>
      <c r="E717" s="122"/>
      <c r="F717" s="122"/>
      <c r="G717" s="124"/>
      <c r="H717" s="122"/>
      <c r="I717" s="82"/>
      <c r="J717" s="82"/>
      <c r="K717" s="82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2.75" customHeight="1" x14ac:dyDescent="0.25">
      <c r="A718" s="122"/>
      <c r="B718" s="122"/>
      <c r="C718" s="100"/>
      <c r="D718" s="123"/>
      <c r="E718" s="122"/>
      <c r="F718" s="122"/>
      <c r="G718" s="124"/>
      <c r="H718" s="122"/>
      <c r="I718" s="82"/>
      <c r="J718" s="82"/>
      <c r="K718" s="82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2.75" customHeight="1" x14ac:dyDescent="0.25">
      <c r="A719" s="122"/>
      <c r="B719" s="122"/>
      <c r="C719" s="100"/>
      <c r="D719" s="123"/>
      <c r="E719" s="122"/>
      <c r="F719" s="122"/>
      <c r="G719" s="124"/>
      <c r="H719" s="122"/>
      <c r="I719" s="82"/>
      <c r="J719" s="82"/>
      <c r="K719" s="82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2.75" customHeight="1" x14ac:dyDescent="0.25">
      <c r="A720" s="122"/>
      <c r="B720" s="122"/>
      <c r="C720" s="100"/>
      <c r="D720" s="123"/>
      <c r="E720" s="122"/>
      <c r="F720" s="122"/>
      <c r="G720" s="124"/>
      <c r="H720" s="122"/>
      <c r="I720" s="82"/>
      <c r="J720" s="82"/>
      <c r="K720" s="82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2.75" customHeight="1" x14ac:dyDescent="0.25">
      <c r="A721" s="122"/>
      <c r="B721" s="122"/>
      <c r="C721" s="100"/>
      <c r="D721" s="123"/>
      <c r="E721" s="122"/>
      <c r="F721" s="122"/>
      <c r="G721" s="124"/>
      <c r="H721" s="122"/>
      <c r="I721" s="82"/>
      <c r="J721" s="82"/>
      <c r="K721" s="82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2.75" customHeight="1" x14ac:dyDescent="0.25">
      <c r="A722" s="122"/>
      <c r="B722" s="122"/>
      <c r="C722" s="100"/>
      <c r="D722" s="123"/>
      <c r="E722" s="122"/>
      <c r="F722" s="122"/>
      <c r="G722" s="124"/>
      <c r="H722" s="122"/>
      <c r="I722" s="82"/>
      <c r="J722" s="82"/>
      <c r="K722" s="82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2.75" customHeight="1" x14ac:dyDescent="0.25">
      <c r="A723" s="122"/>
      <c r="B723" s="122"/>
      <c r="C723" s="100"/>
      <c r="D723" s="123"/>
      <c r="E723" s="122"/>
      <c r="F723" s="122"/>
      <c r="G723" s="124"/>
      <c r="H723" s="122"/>
      <c r="I723" s="82"/>
      <c r="J723" s="82"/>
      <c r="K723" s="82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2.75" customHeight="1" x14ac:dyDescent="0.25">
      <c r="A724" s="122"/>
      <c r="B724" s="122"/>
      <c r="C724" s="100"/>
      <c r="D724" s="123"/>
      <c r="E724" s="122"/>
      <c r="F724" s="122"/>
      <c r="G724" s="124"/>
      <c r="H724" s="122"/>
      <c r="I724" s="82"/>
      <c r="J724" s="82"/>
      <c r="K724" s="82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2.75" customHeight="1" x14ac:dyDescent="0.25">
      <c r="A725" s="122"/>
      <c r="B725" s="122"/>
      <c r="C725" s="100"/>
      <c r="D725" s="123"/>
      <c r="E725" s="122"/>
      <c r="F725" s="122"/>
      <c r="G725" s="124"/>
      <c r="H725" s="122"/>
      <c r="I725" s="82"/>
      <c r="J725" s="82"/>
      <c r="K725" s="82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2.75" customHeight="1" x14ac:dyDescent="0.25">
      <c r="A726" s="122"/>
      <c r="B726" s="122"/>
      <c r="C726" s="100"/>
      <c r="D726" s="123"/>
      <c r="E726" s="122"/>
      <c r="F726" s="122"/>
      <c r="G726" s="124"/>
      <c r="H726" s="122"/>
      <c r="I726" s="82"/>
      <c r="J726" s="82"/>
      <c r="K726" s="82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2.75" customHeight="1" x14ac:dyDescent="0.25">
      <c r="A727" s="122"/>
      <c r="B727" s="122"/>
      <c r="C727" s="100"/>
      <c r="D727" s="123"/>
      <c r="E727" s="122"/>
      <c r="F727" s="122"/>
      <c r="G727" s="124"/>
      <c r="H727" s="122"/>
      <c r="I727" s="82"/>
      <c r="J727" s="82"/>
      <c r="K727" s="82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2.75" customHeight="1" x14ac:dyDescent="0.25">
      <c r="A728" s="122"/>
      <c r="B728" s="122"/>
      <c r="C728" s="100"/>
      <c r="D728" s="123"/>
      <c r="E728" s="122"/>
      <c r="F728" s="122"/>
      <c r="G728" s="124"/>
      <c r="H728" s="122"/>
      <c r="I728" s="82"/>
      <c r="J728" s="82"/>
      <c r="K728" s="82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2.75" customHeight="1" x14ac:dyDescent="0.25">
      <c r="A729" s="122"/>
      <c r="B729" s="122"/>
      <c r="C729" s="100"/>
      <c r="D729" s="123"/>
      <c r="E729" s="122"/>
      <c r="F729" s="122"/>
      <c r="G729" s="124"/>
      <c r="H729" s="122"/>
      <c r="I729" s="82"/>
      <c r="J729" s="82"/>
      <c r="K729" s="82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2.75" customHeight="1" x14ac:dyDescent="0.25">
      <c r="A730" s="122"/>
      <c r="B730" s="122"/>
      <c r="C730" s="100"/>
      <c r="D730" s="123"/>
      <c r="E730" s="122"/>
      <c r="F730" s="122"/>
      <c r="G730" s="124"/>
      <c r="H730" s="122"/>
      <c r="I730" s="82"/>
      <c r="J730" s="82"/>
      <c r="K730" s="82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2.75" customHeight="1" x14ac:dyDescent="0.25">
      <c r="A731" s="122"/>
      <c r="B731" s="122"/>
      <c r="C731" s="100"/>
      <c r="D731" s="123"/>
      <c r="E731" s="122"/>
      <c r="F731" s="122"/>
      <c r="G731" s="124"/>
      <c r="H731" s="122"/>
      <c r="I731" s="82"/>
      <c r="J731" s="82"/>
      <c r="K731" s="82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2.75" customHeight="1" x14ac:dyDescent="0.25">
      <c r="A732" s="122"/>
      <c r="B732" s="122"/>
      <c r="C732" s="100"/>
      <c r="D732" s="123"/>
      <c r="E732" s="122"/>
      <c r="F732" s="122"/>
      <c r="G732" s="124"/>
      <c r="H732" s="122"/>
      <c r="I732" s="82"/>
      <c r="J732" s="82"/>
      <c r="K732" s="82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2.75" customHeight="1" x14ac:dyDescent="0.25">
      <c r="A733" s="122"/>
      <c r="B733" s="122"/>
      <c r="C733" s="100"/>
      <c r="D733" s="123"/>
      <c r="E733" s="122"/>
      <c r="F733" s="122"/>
      <c r="G733" s="124"/>
      <c r="H733" s="122"/>
      <c r="I733" s="82"/>
      <c r="J733" s="82"/>
      <c r="K733" s="82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2.75" customHeight="1" x14ac:dyDescent="0.25">
      <c r="A734" s="122"/>
      <c r="B734" s="122"/>
      <c r="C734" s="100"/>
      <c r="D734" s="123"/>
      <c r="E734" s="122"/>
      <c r="F734" s="122"/>
      <c r="G734" s="124"/>
      <c r="H734" s="122"/>
      <c r="I734" s="82"/>
      <c r="J734" s="82"/>
      <c r="K734" s="82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2.75" customHeight="1" x14ac:dyDescent="0.25">
      <c r="A735" s="122"/>
      <c r="B735" s="122"/>
      <c r="C735" s="100"/>
      <c r="D735" s="123"/>
      <c r="E735" s="122"/>
      <c r="F735" s="122"/>
      <c r="G735" s="124"/>
      <c r="H735" s="122"/>
      <c r="I735" s="82"/>
      <c r="J735" s="82"/>
      <c r="K735" s="82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2.75" customHeight="1" x14ac:dyDescent="0.25">
      <c r="A736" s="122"/>
      <c r="B736" s="122"/>
      <c r="C736" s="100"/>
      <c r="D736" s="123"/>
      <c r="E736" s="122"/>
      <c r="F736" s="122"/>
      <c r="G736" s="124"/>
      <c r="H736" s="122"/>
      <c r="I736" s="82"/>
      <c r="J736" s="82"/>
      <c r="K736" s="82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2.75" customHeight="1" x14ac:dyDescent="0.25">
      <c r="A737" s="122"/>
      <c r="B737" s="122"/>
      <c r="C737" s="100"/>
      <c r="D737" s="123"/>
      <c r="E737" s="122"/>
      <c r="F737" s="122"/>
      <c r="G737" s="124"/>
      <c r="H737" s="122"/>
      <c r="I737" s="82"/>
      <c r="J737" s="82"/>
      <c r="K737" s="82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2.75" customHeight="1" x14ac:dyDescent="0.25">
      <c r="A738" s="122"/>
      <c r="B738" s="122"/>
      <c r="C738" s="100"/>
      <c r="D738" s="123"/>
      <c r="E738" s="122"/>
      <c r="F738" s="122"/>
      <c r="G738" s="124"/>
      <c r="H738" s="122"/>
      <c r="I738" s="82"/>
      <c r="J738" s="82"/>
      <c r="K738" s="82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2.75" customHeight="1" x14ac:dyDescent="0.25">
      <c r="A739" s="122"/>
      <c r="B739" s="122"/>
      <c r="C739" s="100"/>
      <c r="D739" s="123"/>
      <c r="E739" s="122"/>
      <c r="F739" s="122"/>
      <c r="G739" s="124"/>
      <c r="H739" s="122"/>
      <c r="I739" s="82"/>
      <c r="J739" s="82"/>
      <c r="K739" s="82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2.75" customHeight="1" x14ac:dyDescent="0.25">
      <c r="A740" s="122"/>
      <c r="B740" s="122"/>
      <c r="C740" s="100"/>
      <c r="D740" s="123"/>
      <c r="E740" s="122"/>
      <c r="F740" s="122"/>
      <c r="G740" s="124"/>
      <c r="H740" s="122"/>
      <c r="I740" s="82"/>
      <c r="J740" s="82"/>
      <c r="K740" s="82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2.75" customHeight="1" x14ac:dyDescent="0.25">
      <c r="A741" s="122"/>
      <c r="B741" s="122"/>
      <c r="C741" s="100"/>
      <c r="D741" s="123"/>
      <c r="E741" s="122"/>
      <c r="F741" s="122"/>
      <c r="G741" s="124"/>
      <c r="H741" s="122"/>
      <c r="I741" s="82"/>
      <c r="J741" s="82"/>
      <c r="K741" s="82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2.75" customHeight="1" x14ac:dyDescent="0.25">
      <c r="A742" s="122"/>
      <c r="B742" s="122"/>
      <c r="C742" s="100"/>
      <c r="D742" s="123"/>
      <c r="E742" s="122"/>
      <c r="F742" s="122"/>
      <c r="G742" s="124"/>
      <c r="H742" s="122"/>
      <c r="I742" s="82"/>
      <c r="J742" s="82"/>
      <c r="K742" s="82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2.75" customHeight="1" x14ac:dyDescent="0.25">
      <c r="A743" s="122"/>
      <c r="B743" s="122"/>
      <c r="C743" s="100"/>
      <c r="D743" s="123"/>
      <c r="E743" s="122"/>
      <c r="F743" s="122"/>
      <c r="G743" s="124"/>
      <c r="H743" s="122"/>
      <c r="I743" s="82"/>
      <c r="J743" s="82"/>
      <c r="K743" s="82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2.75" customHeight="1" x14ac:dyDescent="0.25">
      <c r="A744" s="122"/>
      <c r="B744" s="122"/>
      <c r="C744" s="100"/>
      <c r="D744" s="123"/>
      <c r="E744" s="122"/>
      <c r="F744" s="122"/>
      <c r="G744" s="124"/>
      <c r="H744" s="122"/>
      <c r="I744" s="82"/>
      <c r="J744" s="82"/>
      <c r="K744" s="82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2.75" customHeight="1" x14ac:dyDescent="0.25">
      <c r="A745" s="122"/>
      <c r="B745" s="122"/>
      <c r="C745" s="100"/>
      <c r="D745" s="123"/>
      <c r="E745" s="122"/>
      <c r="F745" s="122"/>
      <c r="G745" s="124"/>
      <c r="H745" s="122"/>
      <c r="I745" s="82"/>
      <c r="J745" s="82"/>
      <c r="K745" s="82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2.75" customHeight="1" x14ac:dyDescent="0.25">
      <c r="A746" s="122"/>
      <c r="B746" s="122"/>
      <c r="C746" s="100"/>
      <c r="D746" s="123"/>
      <c r="E746" s="122"/>
      <c r="F746" s="122"/>
      <c r="G746" s="124"/>
      <c r="H746" s="122"/>
      <c r="I746" s="82"/>
      <c r="J746" s="82"/>
      <c r="K746" s="82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2.75" customHeight="1" x14ac:dyDescent="0.25">
      <c r="A747" s="122"/>
      <c r="B747" s="122"/>
      <c r="C747" s="100"/>
      <c r="D747" s="123"/>
      <c r="E747" s="122"/>
      <c r="F747" s="122"/>
      <c r="G747" s="124"/>
      <c r="H747" s="122"/>
      <c r="I747" s="82"/>
      <c r="J747" s="82"/>
      <c r="K747" s="82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2.75" customHeight="1" x14ac:dyDescent="0.25">
      <c r="A748" s="122"/>
      <c r="B748" s="122"/>
      <c r="C748" s="100"/>
      <c r="D748" s="123"/>
      <c r="E748" s="122"/>
      <c r="F748" s="122"/>
      <c r="G748" s="124"/>
      <c r="H748" s="122"/>
      <c r="I748" s="82"/>
      <c r="J748" s="82"/>
      <c r="K748" s="82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2.75" customHeight="1" x14ac:dyDescent="0.25">
      <c r="A749" s="122"/>
      <c r="B749" s="122"/>
      <c r="C749" s="100"/>
      <c r="D749" s="123"/>
      <c r="E749" s="122"/>
      <c r="F749" s="122"/>
      <c r="G749" s="124"/>
      <c r="H749" s="122"/>
      <c r="I749" s="82"/>
      <c r="J749" s="82"/>
      <c r="K749" s="82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2.75" customHeight="1" x14ac:dyDescent="0.25">
      <c r="A750" s="122"/>
      <c r="B750" s="122"/>
      <c r="C750" s="100"/>
      <c r="D750" s="123"/>
      <c r="E750" s="122"/>
      <c r="F750" s="122"/>
      <c r="G750" s="124"/>
      <c r="H750" s="122"/>
      <c r="I750" s="82"/>
      <c r="J750" s="82"/>
      <c r="K750" s="82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2.75" customHeight="1" x14ac:dyDescent="0.25">
      <c r="A751" s="122"/>
      <c r="B751" s="122"/>
      <c r="C751" s="100"/>
      <c r="D751" s="123"/>
      <c r="E751" s="122"/>
      <c r="F751" s="122"/>
      <c r="G751" s="124"/>
      <c r="H751" s="122"/>
      <c r="I751" s="82"/>
      <c r="J751" s="82"/>
      <c r="K751" s="82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2.75" customHeight="1" x14ac:dyDescent="0.25">
      <c r="A752" s="122"/>
      <c r="B752" s="122"/>
      <c r="C752" s="100"/>
      <c r="D752" s="123"/>
      <c r="E752" s="122"/>
      <c r="F752" s="122"/>
      <c r="G752" s="124"/>
      <c r="H752" s="122"/>
      <c r="I752" s="82"/>
      <c r="J752" s="82"/>
      <c r="K752" s="82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2.75" customHeight="1" x14ac:dyDescent="0.25">
      <c r="A753" s="122"/>
      <c r="B753" s="122"/>
      <c r="C753" s="100"/>
      <c r="D753" s="123"/>
      <c r="E753" s="122"/>
      <c r="F753" s="122"/>
      <c r="G753" s="124"/>
      <c r="H753" s="122"/>
      <c r="I753" s="82"/>
      <c r="J753" s="82"/>
      <c r="K753" s="82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2.75" customHeight="1" x14ac:dyDescent="0.25">
      <c r="A754" s="122"/>
      <c r="B754" s="122"/>
      <c r="C754" s="100"/>
      <c r="D754" s="123"/>
      <c r="E754" s="122"/>
      <c r="F754" s="122"/>
      <c r="G754" s="124"/>
      <c r="H754" s="122"/>
      <c r="I754" s="82"/>
      <c r="J754" s="82"/>
      <c r="K754" s="82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2.75" customHeight="1" x14ac:dyDescent="0.25">
      <c r="A755" s="122"/>
      <c r="B755" s="122"/>
      <c r="C755" s="100"/>
      <c r="D755" s="123"/>
      <c r="E755" s="122"/>
      <c r="F755" s="122"/>
      <c r="G755" s="124"/>
      <c r="H755" s="122"/>
      <c r="I755" s="82"/>
      <c r="J755" s="82"/>
      <c r="K755" s="82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2.75" customHeight="1" x14ac:dyDescent="0.25">
      <c r="A756" s="122"/>
      <c r="B756" s="122"/>
      <c r="C756" s="100"/>
      <c r="D756" s="123"/>
      <c r="E756" s="122"/>
      <c r="F756" s="122"/>
      <c r="G756" s="124"/>
      <c r="H756" s="122"/>
      <c r="I756" s="82"/>
      <c r="J756" s="82"/>
      <c r="K756" s="82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2.75" customHeight="1" x14ac:dyDescent="0.25">
      <c r="A757" s="122"/>
      <c r="B757" s="122"/>
      <c r="C757" s="100"/>
      <c r="D757" s="123"/>
      <c r="E757" s="122"/>
      <c r="F757" s="122"/>
      <c r="G757" s="124"/>
      <c r="H757" s="122"/>
      <c r="I757" s="82"/>
      <c r="J757" s="82"/>
      <c r="K757" s="82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2.75" customHeight="1" x14ac:dyDescent="0.25">
      <c r="A758" s="122"/>
      <c r="B758" s="122"/>
      <c r="C758" s="100"/>
      <c r="D758" s="123"/>
      <c r="E758" s="122"/>
      <c r="F758" s="122"/>
      <c r="G758" s="124"/>
      <c r="H758" s="122"/>
      <c r="I758" s="82"/>
      <c r="J758" s="82"/>
      <c r="K758" s="82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2.75" customHeight="1" x14ac:dyDescent="0.25">
      <c r="A759" s="122"/>
      <c r="B759" s="122"/>
      <c r="C759" s="100"/>
      <c r="D759" s="123"/>
      <c r="E759" s="122"/>
      <c r="F759" s="122"/>
      <c r="G759" s="124"/>
      <c r="H759" s="122"/>
      <c r="I759" s="82"/>
      <c r="J759" s="82"/>
      <c r="K759" s="82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2.75" customHeight="1" x14ac:dyDescent="0.25">
      <c r="A760" s="122"/>
      <c r="B760" s="122"/>
      <c r="C760" s="100"/>
      <c r="D760" s="123"/>
      <c r="E760" s="122"/>
      <c r="F760" s="122"/>
      <c r="G760" s="124"/>
      <c r="H760" s="122"/>
      <c r="I760" s="82"/>
      <c r="J760" s="82"/>
      <c r="K760" s="82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2.75" customHeight="1" x14ac:dyDescent="0.25">
      <c r="A761" s="122"/>
      <c r="B761" s="122"/>
      <c r="C761" s="100"/>
      <c r="D761" s="123"/>
      <c r="E761" s="122"/>
      <c r="F761" s="122"/>
      <c r="G761" s="124"/>
      <c r="H761" s="122"/>
      <c r="I761" s="82"/>
      <c r="J761" s="82"/>
      <c r="K761" s="82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2.75" customHeight="1" x14ac:dyDescent="0.25">
      <c r="A762" s="122"/>
      <c r="B762" s="122"/>
      <c r="C762" s="100"/>
      <c r="D762" s="123"/>
      <c r="E762" s="122"/>
      <c r="F762" s="122"/>
      <c r="G762" s="124"/>
      <c r="H762" s="122"/>
      <c r="I762" s="82"/>
      <c r="J762" s="82"/>
      <c r="K762" s="82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2.75" customHeight="1" x14ac:dyDescent="0.25">
      <c r="A763" s="122"/>
      <c r="B763" s="122"/>
      <c r="C763" s="100"/>
      <c r="D763" s="123"/>
      <c r="E763" s="122"/>
      <c r="F763" s="122"/>
      <c r="G763" s="124"/>
      <c r="H763" s="122"/>
      <c r="I763" s="82"/>
      <c r="J763" s="82"/>
      <c r="K763" s="82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2.75" customHeight="1" x14ac:dyDescent="0.25">
      <c r="A764" s="122"/>
      <c r="B764" s="122"/>
      <c r="C764" s="100"/>
      <c r="D764" s="123"/>
      <c r="E764" s="122"/>
      <c r="F764" s="122"/>
      <c r="G764" s="124"/>
      <c r="H764" s="122"/>
      <c r="I764" s="82"/>
      <c r="J764" s="82"/>
      <c r="K764" s="82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2.75" customHeight="1" x14ac:dyDescent="0.25">
      <c r="A765" s="122"/>
      <c r="B765" s="122"/>
      <c r="C765" s="100"/>
      <c r="D765" s="123"/>
      <c r="E765" s="122"/>
      <c r="F765" s="122"/>
      <c r="G765" s="124"/>
      <c r="H765" s="122"/>
      <c r="I765" s="82"/>
      <c r="J765" s="82"/>
      <c r="K765" s="82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2.75" customHeight="1" x14ac:dyDescent="0.25">
      <c r="A766" s="122"/>
      <c r="B766" s="122"/>
      <c r="C766" s="100"/>
      <c r="D766" s="123"/>
      <c r="E766" s="122"/>
      <c r="F766" s="122"/>
      <c r="G766" s="124"/>
      <c r="H766" s="122"/>
      <c r="I766" s="82"/>
      <c r="J766" s="82"/>
      <c r="K766" s="82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2.75" customHeight="1" x14ac:dyDescent="0.25">
      <c r="A767" s="122"/>
      <c r="B767" s="122"/>
      <c r="C767" s="100"/>
      <c r="D767" s="123"/>
      <c r="E767" s="122"/>
      <c r="F767" s="122"/>
      <c r="G767" s="124"/>
      <c r="H767" s="122"/>
      <c r="I767" s="82"/>
      <c r="J767" s="82"/>
      <c r="K767" s="82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2.75" customHeight="1" x14ac:dyDescent="0.25">
      <c r="A768" s="122"/>
      <c r="B768" s="122"/>
      <c r="C768" s="100"/>
      <c r="D768" s="123"/>
      <c r="E768" s="122"/>
      <c r="F768" s="122"/>
      <c r="G768" s="124"/>
      <c r="H768" s="122"/>
      <c r="I768" s="82"/>
      <c r="J768" s="82"/>
      <c r="K768" s="82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2.75" customHeight="1" x14ac:dyDescent="0.25">
      <c r="A769" s="122"/>
      <c r="B769" s="122"/>
      <c r="C769" s="100"/>
      <c r="D769" s="123"/>
      <c r="E769" s="122"/>
      <c r="F769" s="122"/>
      <c r="G769" s="124"/>
      <c r="H769" s="122"/>
      <c r="I769" s="82"/>
      <c r="J769" s="82"/>
      <c r="K769" s="82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2.75" customHeight="1" x14ac:dyDescent="0.25">
      <c r="A770" s="122"/>
      <c r="B770" s="122"/>
      <c r="C770" s="100"/>
      <c r="D770" s="123"/>
      <c r="E770" s="122"/>
      <c r="F770" s="122"/>
      <c r="G770" s="124"/>
      <c r="H770" s="122"/>
      <c r="I770" s="82"/>
      <c r="J770" s="82"/>
      <c r="K770" s="82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2.75" customHeight="1" x14ac:dyDescent="0.25">
      <c r="A771" s="122"/>
      <c r="B771" s="122"/>
      <c r="C771" s="100"/>
      <c r="D771" s="123"/>
      <c r="E771" s="122"/>
      <c r="F771" s="122"/>
      <c r="G771" s="124"/>
      <c r="H771" s="122"/>
      <c r="I771" s="82"/>
      <c r="J771" s="82"/>
      <c r="K771" s="82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2.75" customHeight="1" x14ac:dyDescent="0.25">
      <c r="A772" s="122"/>
      <c r="B772" s="122"/>
      <c r="C772" s="100"/>
      <c r="D772" s="123"/>
      <c r="E772" s="122"/>
      <c r="F772" s="122"/>
      <c r="G772" s="124"/>
      <c r="H772" s="122"/>
      <c r="I772" s="82"/>
      <c r="J772" s="82"/>
      <c r="K772" s="82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2.75" customHeight="1" x14ac:dyDescent="0.25">
      <c r="A773" s="122"/>
      <c r="B773" s="122"/>
      <c r="C773" s="100"/>
      <c r="D773" s="123"/>
      <c r="E773" s="122"/>
      <c r="F773" s="122"/>
      <c r="G773" s="124"/>
      <c r="H773" s="122"/>
      <c r="I773" s="82"/>
      <c r="J773" s="82"/>
      <c r="K773" s="82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2.75" customHeight="1" x14ac:dyDescent="0.25">
      <c r="A774" s="122"/>
      <c r="B774" s="122"/>
      <c r="C774" s="100"/>
      <c r="D774" s="123"/>
      <c r="E774" s="122"/>
      <c r="F774" s="122"/>
      <c r="G774" s="124"/>
      <c r="H774" s="122"/>
      <c r="I774" s="82"/>
      <c r="J774" s="82"/>
      <c r="K774" s="82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2.75" customHeight="1" x14ac:dyDescent="0.25">
      <c r="A775" s="122"/>
      <c r="B775" s="122"/>
      <c r="C775" s="100"/>
      <c r="D775" s="123"/>
      <c r="E775" s="122"/>
      <c r="F775" s="122"/>
      <c r="G775" s="124"/>
      <c r="H775" s="122"/>
      <c r="I775" s="82"/>
      <c r="J775" s="82"/>
      <c r="K775" s="82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2.75" customHeight="1" x14ac:dyDescent="0.25">
      <c r="A776" s="122"/>
      <c r="B776" s="122"/>
      <c r="C776" s="100"/>
      <c r="D776" s="123"/>
      <c r="E776" s="122"/>
      <c r="F776" s="122"/>
      <c r="G776" s="124"/>
      <c r="H776" s="122"/>
      <c r="I776" s="82"/>
      <c r="J776" s="82"/>
      <c r="K776" s="82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2.75" customHeight="1" x14ac:dyDescent="0.25">
      <c r="A777" s="122"/>
      <c r="B777" s="122"/>
      <c r="C777" s="100"/>
      <c r="D777" s="123"/>
      <c r="E777" s="122"/>
      <c r="F777" s="122"/>
      <c r="G777" s="124"/>
      <c r="H777" s="122"/>
      <c r="I777" s="82"/>
      <c r="J777" s="82"/>
      <c r="K777" s="82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2.75" customHeight="1" x14ac:dyDescent="0.25">
      <c r="A778" s="122"/>
      <c r="B778" s="122"/>
      <c r="C778" s="100"/>
      <c r="D778" s="123"/>
      <c r="E778" s="122"/>
      <c r="F778" s="122"/>
      <c r="G778" s="124"/>
      <c r="H778" s="122"/>
      <c r="I778" s="82"/>
      <c r="J778" s="82"/>
      <c r="K778" s="82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2.75" customHeight="1" x14ac:dyDescent="0.25">
      <c r="A779" s="122"/>
      <c r="B779" s="122"/>
      <c r="C779" s="100"/>
      <c r="D779" s="123"/>
      <c r="E779" s="122"/>
      <c r="F779" s="122"/>
      <c r="G779" s="124"/>
      <c r="H779" s="122"/>
      <c r="I779" s="82"/>
      <c r="J779" s="82"/>
      <c r="K779" s="82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2.75" customHeight="1" x14ac:dyDescent="0.25">
      <c r="A780" s="122"/>
      <c r="B780" s="122"/>
      <c r="C780" s="100"/>
      <c r="D780" s="123"/>
      <c r="E780" s="122"/>
      <c r="F780" s="122"/>
      <c r="G780" s="124"/>
      <c r="H780" s="122"/>
      <c r="I780" s="82"/>
      <c r="J780" s="82"/>
      <c r="K780" s="82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2.75" customHeight="1" x14ac:dyDescent="0.25">
      <c r="A781" s="122"/>
      <c r="B781" s="122"/>
      <c r="C781" s="100"/>
      <c r="D781" s="123"/>
      <c r="E781" s="122"/>
      <c r="F781" s="122"/>
      <c r="G781" s="124"/>
      <c r="H781" s="122"/>
      <c r="I781" s="82"/>
      <c r="J781" s="82"/>
      <c r="K781" s="82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2.75" customHeight="1" x14ac:dyDescent="0.25">
      <c r="A782" s="122"/>
      <c r="B782" s="122"/>
      <c r="C782" s="100"/>
      <c r="D782" s="123"/>
      <c r="E782" s="122"/>
      <c r="F782" s="122"/>
      <c r="G782" s="124"/>
      <c r="H782" s="122"/>
      <c r="I782" s="82"/>
      <c r="J782" s="82"/>
      <c r="K782" s="82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2.75" customHeight="1" x14ac:dyDescent="0.25">
      <c r="A783" s="122"/>
      <c r="B783" s="122"/>
      <c r="C783" s="100"/>
      <c r="D783" s="123"/>
      <c r="E783" s="122"/>
      <c r="F783" s="122"/>
      <c r="G783" s="124"/>
      <c r="H783" s="122"/>
      <c r="I783" s="82"/>
      <c r="J783" s="82"/>
      <c r="K783" s="82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2.75" customHeight="1" x14ac:dyDescent="0.25">
      <c r="A784" s="122"/>
      <c r="B784" s="122"/>
      <c r="C784" s="100"/>
      <c r="D784" s="123"/>
      <c r="E784" s="122"/>
      <c r="F784" s="122"/>
      <c r="G784" s="124"/>
      <c r="H784" s="122"/>
      <c r="I784" s="82"/>
      <c r="J784" s="82"/>
      <c r="K784" s="82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2.75" customHeight="1" x14ac:dyDescent="0.25">
      <c r="A785" s="122"/>
      <c r="B785" s="122"/>
      <c r="C785" s="100"/>
      <c r="D785" s="123"/>
      <c r="E785" s="122"/>
      <c r="F785" s="122"/>
      <c r="G785" s="124"/>
      <c r="H785" s="122"/>
      <c r="I785" s="82"/>
      <c r="J785" s="82"/>
      <c r="K785" s="82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2.75" customHeight="1" x14ac:dyDescent="0.25">
      <c r="A786" s="122"/>
      <c r="B786" s="122"/>
      <c r="C786" s="100"/>
      <c r="D786" s="123"/>
      <c r="E786" s="122"/>
      <c r="F786" s="122"/>
      <c r="G786" s="124"/>
      <c r="H786" s="122"/>
      <c r="I786" s="82"/>
      <c r="J786" s="82"/>
      <c r="K786" s="82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2.75" customHeight="1" x14ac:dyDescent="0.25">
      <c r="A787" s="122"/>
      <c r="B787" s="122"/>
      <c r="C787" s="100"/>
      <c r="D787" s="123"/>
      <c r="E787" s="122"/>
      <c r="F787" s="122"/>
      <c r="G787" s="124"/>
      <c r="H787" s="122"/>
      <c r="I787" s="82"/>
      <c r="J787" s="82"/>
      <c r="K787" s="82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2.75" customHeight="1" x14ac:dyDescent="0.25">
      <c r="A788" s="122"/>
      <c r="B788" s="122"/>
      <c r="C788" s="100"/>
      <c r="D788" s="123"/>
      <c r="E788" s="122"/>
      <c r="F788" s="122"/>
      <c r="G788" s="124"/>
      <c r="H788" s="122"/>
      <c r="I788" s="82"/>
      <c r="J788" s="82"/>
      <c r="K788" s="82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2.75" customHeight="1" x14ac:dyDescent="0.25">
      <c r="A789" s="122"/>
      <c r="B789" s="122"/>
      <c r="C789" s="100"/>
      <c r="D789" s="123"/>
      <c r="E789" s="122"/>
      <c r="F789" s="122"/>
      <c r="G789" s="124"/>
      <c r="H789" s="122"/>
      <c r="I789" s="82"/>
      <c r="J789" s="82"/>
      <c r="K789" s="82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2.75" customHeight="1" x14ac:dyDescent="0.25">
      <c r="A790" s="122"/>
      <c r="B790" s="122"/>
      <c r="C790" s="100"/>
      <c r="D790" s="123"/>
      <c r="E790" s="122"/>
      <c r="F790" s="122"/>
      <c r="G790" s="124"/>
      <c r="H790" s="122"/>
      <c r="I790" s="82"/>
      <c r="J790" s="82"/>
      <c r="K790" s="82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2.75" customHeight="1" x14ac:dyDescent="0.25">
      <c r="A791" s="122"/>
      <c r="B791" s="122"/>
      <c r="C791" s="100"/>
      <c r="D791" s="123"/>
      <c r="E791" s="122"/>
      <c r="F791" s="122"/>
      <c r="G791" s="124"/>
      <c r="H791" s="122"/>
      <c r="I791" s="82"/>
      <c r="J791" s="82"/>
      <c r="K791" s="82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2.75" customHeight="1" x14ac:dyDescent="0.25">
      <c r="A792" s="122"/>
      <c r="B792" s="122"/>
      <c r="C792" s="100"/>
      <c r="D792" s="123"/>
      <c r="E792" s="122"/>
      <c r="F792" s="122"/>
      <c r="G792" s="124"/>
      <c r="H792" s="122"/>
      <c r="I792" s="82"/>
      <c r="J792" s="82"/>
      <c r="K792" s="82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2.75" customHeight="1" x14ac:dyDescent="0.25">
      <c r="A793" s="122"/>
      <c r="B793" s="122"/>
      <c r="C793" s="100"/>
      <c r="D793" s="123"/>
      <c r="E793" s="122"/>
      <c r="F793" s="122"/>
      <c r="G793" s="124"/>
      <c r="H793" s="122"/>
      <c r="I793" s="82"/>
      <c r="J793" s="82"/>
      <c r="K793" s="82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2.75" customHeight="1" x14ac:dyDescent="0.25">
      <c r="A794" s="122"/>
      <c r="B794" s="122"/>
      <c r="C794" s="100"/>
      <c r="D794" s="123"/>
      <c r="E794" s="122"/>
      <c r="F794" s="122"/>
      <c r="G794" s="124"/>
      <c r="H794" s="122"/>
      <c r="I794" s="82"/>
      <c r="J794" s="82"/>
      <c r="K794" s="82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2.75" customHeight="1" x14ac:dyDescent="0.25">
      <c r="A795" s="122"/>
      <c r="B795" s="122"/>
      <c r="C795" s="100"/>
      <c r="D795" s="123"/>
      <c r="E795" s="122"/>
      <c r="F795" s="122"/>
      <c r="G795" s="124"/>
      <c r="H795" s="122"/>
      <c r="I795" s="82"/>
      <c r="J795" s="82"/>
      <c r="K795" s="82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2.75" customHeight="1" x14ac:dyDescent="0.25">
      <c r="A796" s="122"/>
      <c r="B796" s="122"/>
      <c r="C796" s="100"/>
      <c r="D796" s="123"/>
      <c r="E796" s="122"/>
      <c r="F796" s="122"/>
      <c r="G796" s="124"/>
      <c r="H796" s="122"/>
      <c r="I796" s="82"/>
      <c r="J796" s="82"/>
      <c r="K796" s="82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2.75" customHeight="1" x14ac:dyDescent="0.25">
      <c r="A797" s="122"/>
      <c r="B797" s="122"/>
      <c r="C797" s="100"/>
      <c r="D797" s="123"/>
      <c r="E797" s="122"/>
      <c r="F797" s="122"/>
      <c r="G797" s="124"/>
      <c r="H797" s="122"/>
      <c r="I797" s="82"/>
      <c r="J797" s="82"/>
      <c r="K797" s="82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2.75" customHeight="1" x14ac:dyDescent="0.25">
      <c r="A798" s="122"/>
      <c r="B798" s="122"/>
      <c r="C798" s="100"/>
      <c r="D798" s="123"/>
      <c r="E798" s="122"/>
      <c r="F798" s="122"/>
      <c r="G798" s="124"/>
      <c r="H798" s="122"/>
      <c r="I798" s="82"/>
      <c r="J798" s="82"/>
      <c r="K798" s="82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2.75" customHeight="1" x14ac:dyDescent="0.25">
      <c r="A799" s="122"/>
      <c r="B799" s="122"/>
      <c r="C799" s="100"/>
      <c r="D799" s="123"/>
      <c r="E799" s="122"/>
      <c r="F799" s="122"/>
      <c r="G799" s="124"/>
      <c r="H799" s="122"/>
      <c r="I799" s="82"/>
      <c r="J799" s="82"/>
      <c r="K799" s="82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2.75" customHeight="1" x14ac:dyDescent="0.25">
      <c r="A800" s="122"/>
      <c r="B800" s="122"/>
      <c r="C800" s="100"/>
      <c r="D800" s="123"/>
      <c r="E800" s="122"/>
      <c r="F800" s="122"/>
      <c r="G800" s="124"/>
      <c r="H800" s="122"/>
      <c r="I800" s="82"/>
      <c r="J800" s="82"/>
      <c r="K800" s="82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2.75" customHeight="1" x14ac:dyDescent="0.25">
      <c r="A801" s="122"/>
      <c r="B801" s="122"/>
      <c r="C801" s="100"/>
      <c r="D801" s="123"/>
      <c r="E801" s="122"/>
      <c r="F801" s="122"/>
      <c r="G801" s="124"/>
      <c r="H801" s="122"/>
      <c r="I801" s="82"/>
      <c r="J801" s="82"/>
      <c r="K801" s="82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2.75" customHeight="1" x14ac:dyDescent="0.25">
      <c r="A802" s="122"/>
      <c r="B802" s="122"/>
      <c r="C802" s="100"/>
      <c r="D802" s="123"/>
      <c r="E802" s="122"/>
      <c r="F802" s="122"/>
      <c r="G802" s="124"/>
      <c r="H802" s="122"/>
      <c r="I802" s="82"/>
      <c r="J802" s="82"/>
      <c r="K802" s="82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2.75" customHeight="1" x14ac:dyDescent="0.25">
      <c r="A803" s="122"/>
      <c r="B803" s="122"/>
      <c r="C803" s="100"/>
      <c r="D803" s="123"/>
      <c r="E803" s="122"/>
      <c r="F803" s="122"/>
      <c r="G803" s="124"/>
      <c r="H803" s="122"/>
      <c r="I803" s="82"/>
      <c r="J803" s="82"/>
      <c r="K803" s="82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2.75" customHeight="1" x14ac:dyDescent="0.25">
      <c r="A804" s="122"/>
      <c r="B804" s="122"/>
      <c r="C804" s="100"/>
      <c r="D804" s="123"/>
      <c r="E804" s="122"/>
      <c r="F804" s="122"/>
      <c r="G804" s="124"/>
      <c r="H804" s="122"/>
      <c r="I804" s="82"/>
      <c r="J804" s="82"/>
      <c r="K804" s="82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2.75" customHeight="1" x14ac:dyDescent="0.25">
      <c r="A805" s="122"/>
      <c r="B805" s="122"/>
      <c r="C805" s="100"/>
      <c r="D805" s="123"/>
      <c r="E805" s="122"/>
      <c r="F805" s="122"/>
      <c r="G805" s="124"/>
      <c r="H805" s="122"/>
      <c r="I805" s="82"/>
      <c r="J805" s="82"/>
      <c r="K805" s="82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2.75" customHeight="1" x14ac:dyDescent="0.25">
      <c r="A806" s="122"/>
      <c r="B806" s="122"/>
      <c r="C806" s="100"/>
      <c r="D806" s="123"/>
      <c r="E806" s="122"/>
      <c r="F806" s="122"/>
      <c r="G806" s="124"/>
      <c r="H806" s="122"/>
      <c r="I806" s="82"/>
      <c r="J806" s="82"/>
      <c r="K806" s="82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2.75" customHeight="1" x14ac:dyDescent="0.25">
      <c r="A807" s="122"/>
      <c r="B807" s="122"/>
      <c r="C807" s="100"/>
      <c r="D807" s="123"/>
      <c r="E807" s="122"/>
      <c r="F807" s="122"/>
      <c r="G807" s="124"/>
      <c r="H807" s="122"/>
      <c r="I807" s="82"/>
      <c r="J807" s="82"/>
      <c r="K807" s="82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2.75" customHeight="1" x14ac:dyDescent="0.25">
      <c r="A808" s="122"/>
      <c r="B808" s="122"/>
      <c r="C808" s="100"/>
      <c r="D808" s="123"/>
      <c r="E808" s="122"/>
      <c r="F808" s="122"/>
      <c r="G808" s="124"/>
      <c r="H808" s="122"/>
      <c r="I808" s="82"/>
      <c r="J808" s="82"/>
      <c r="K808" s="82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2.75" customHeight="1" x14ac:dyDescent="0.25">
      <c r="A809" s="122"/>
      <c r="B809" s="122"/>
      <c r="C809" s="100"/>
      <c r="D809" s="123"/>
      <c r="E809" s="122"/>
      <c r="F809" s="122"/>
      <c r="G809" s="124"/>
      <c r="H809" s="122"/>
      <c r="I809" s="82"/>
      <c r="J809" s="82"/>
      <c r="K809" s="82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2.75" customHeight="1" x14ac:dyDescent="0.25">
      <c r="A810" s="122"/>
      <c r="B810" s="122"/>
      <c r="C810" s="100"/>
      <c r="D810" s="123"/>
      <c r="E810" s="122"/>
      <c r="F810" s="122"/>
      <c r="G810" s="124"/>
      <c r="H810" s="122"/>
      <c r="I810" s="82"/>
      <c r="J810" s="82"/>
      <c r="K810" s="82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2.75" customHeight="1" x14ac:dyDescent="0.25">
      <c r="A811" s="122"/>
      <c r="B811" s="122"/>
      <c r="C811" s="100"/>
      <c r="D811" s="123"/>
      <c r="E811" s="122"/>
      <c r="F811" s="122"/>
      <c r="G811" s="124"/>
      <c r="H811" s="122"/>
      <c r="I811" s="82"/>
      <c r="J811" s="82"/>
      <c r="K811" s="82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2.75" customHeight="1" x14ac:dyDescent="0.25">
      <c r="A812" s="122"/>
      <c r="B812" s="122"/>
      <c r="C812" s="100"/>
      <c r="D812" s="123"/>
      <c r="E812" s="122"/>
      <c r="F812" s="122"/>
      <c r="G812" s="124"/>
      <c r="H812" s="122"/>
      <c r="I812" s="82"/>
      <c r="J812" s="82"/>
      <c r="K812" s="82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2.75" customHeight="1" x14ac:dyDescent="0.25">
      <c r="A813" s="122"/>
      <c r="B813" s="122"/>
      <c r="C813" s="100"/>
      <c r="D813" s="123"/>
      <c r="E813" s="122"/>
      <c r="F813" s="122"/>
      <c r="G813" s="124"/>
      <c r="H813" s="122"/>
      <c r="I813" s="82"/>
      <c r="J813" s="82"/>
      <c r="K813" s="82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2.75" customHeight="1" x14ac:dyDescent="0.25">
      <c r="A814" s="122"/>
      <c r="B814" s="122"/>
      <c r="C814" s="100"/>
      <c r="D814" s="123"/>
      <c r="E814" s="122"/>
      <c r="F814" s="122"/>
      <c r="G814" s="124"/>
      <c r="H814" s="122"/>
      <c r="I814" s="82"/>
      <c r="J814" s="82"/>
      <c r="K814" s="82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2.75" customHeight="1" x14ac:dyDescent="0.25">
      <c r="A815" s="122"/>
      <c r="B815" s="122"/>
      <c r="C815" s="100"/>
      <c r="D815" s="123"/>
      <c r="E815" s="122"/>
      <c r="F815" s="122"/>
      <c r="G815" s="124"/>
      <c r="H815" s="122"/>
      <c r="I815" s="82"/>
      <c r="J815" s="82"/>
      <c r="K815" s="82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2.75" customHeight="1" x14ac:dyDescent="0.25">
      <c r="A816" s="122"/>
      <c r="B816" s="122"/>
      <c r="C816" s="100"/>
      <c r="D816" s="123"/>
      <c r="E816" s="122"/>
      <c r="F816" s="122"/>
      <c r="G816" s="124"/>
      <c r="H816" s="122"/>
      <c r="I816" s="82"/>
      <c r="J816" s="82"/>
      <c r="K816" s="82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2.75" customHeight="1" x14ac:dyDescent="0.25">
      <c r="A817" s="122"/>
      <c r="B817" s="122"/>
      <c r="C817" s="100"/>
      <c r="D817" s="123"/>
      <c r="E817" s="122"/>
      <c r="F817" s="122"/>
      <c r="G817" s="124"/>
      <c r="H817" s="122"/>
      <c r="I817" s="82"/>
      <c r="J817" s="82"/>
      <c r="K817" s="82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2.75" customHeight="1" x14ac:dyDescent="0.25">
      <c r="A818" s="122"/>
      <c r="B818" s="122"/>
      <c r="C818" s="100"/>
      <c r="D818" s="123"/>
      <c r="E818" s="122"/>
      <c r="F818" s="122"/>
      <c r="G818" s="124"/>
      <c r="H818" s="122"/>
      <c r="I818" s="82"/>
      <c r="J818" s="82"/>
      <c r="K818" s="82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2.75" customHeight="1" x14ac:dyDescent="0.25">
      <c r="A819" s="122"/>
      <c r="B819" s="122"/>
      <c r="C819" s="100"/>
      <c r="D819" s="123"/>
      <c r="E819" s="122"/>
      <c r="F819" s="122"/>
      <c r="G819" s="124"/>
      <c r="H819" s="122"/>
      <c r="I819" s="82"/>
      <c r="J819" s="82"/>
      <c r="K819" s="82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2.75" customHeight="1" x14ac:dyDescent="0.25">
      <c r="A820" s="122"/>
      <c r="B820" s="122"/>
      <c r="C820" s="100"/>
      <c r="D820" s="123"/>
      <c r="E820" s="122"/>
      <c r="F820" s="122"/>
      <c r="G820" s="124"/>
      <c r="H820" s="122"/>
      <c r="I820" s="82"/>
      <c r="J820" s="82"/>
      <c r="K820" s="82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2.75" customHeight="1" x14ac:dyDescent="0.25">
      <c r="A821" s="122"/>
      <c r="B821" s="122"/>
      <c r="C821" s="100"/>
      <c r="D821" s="123"/>
      <c r="E821" s="122"/>
      <c r="F821" s="122"/>
      <c r="G821" s="124"/>
      <c r="H821" s="122"/>
      <c r="I821" s="82"/>
      <c r="J821" s="82"/>
      <c r="K821" s="82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2.75" customHeight="1" x14ac:dyDescent="0.25">
      <c r="A822" s="122"/>
      <c r="B822" s="122"/>
      <c r="C822" s="100"/>
      <c r="D822" s="123"/>
      <c r="E822" s="122"/>
      <c r="F822" s="122"/>
      <c r="G822" s="124"/>
      <c r="H822" s="122"/>
      <c r="I822" s="82"/>
      <c r="J822" s="82"/>
      <c r="K822" s="82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2.75" customHeight="1" x14ac:dyDescent="0.25">
      <c r="A823" s="122"/>
      <c r="B823" s="122"/>
      <c r="C823" s="100"/>
      <c r="D823" s="123"/>
      <c r="E823" s="122"/>
      <c r="F823" s="122"/>
      <c r="G823" s="124"/>
      <c r="H823" s="122"/>
      <c r="I823" s="82"/>
      <c r="J823" s="82"/>
      <c r="K823" s="82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2.75" customHeight="1" x14ac:dyDescent="0.25">
      <c r="A824" s="122"/>
      <c r="B824" s="122"/>
      <c r="C824" s="100"/>
      <c r="D824" s="123"/>
      <c r="E824" s="122"/>
      <c r="F824" s="122"/>
      <c r="G824" s="124"/>
      <c r="H824" s="122"/>
      <c r="I824" s="82"/>
      <c r="J824" s="82"/>
      <c r="K824" s="82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2.75" customHeight="1" x14ac:dyDescent="0.25">
      <c r="A825" s="122"/>
      <c r="B825" s="122"/>
      <c r="C825" s="100"/>
      <c r="D825" s="123"/>
      <c r="E825" s="122"/>
      <c r="F825" s="122"/>
      <c r="G825" s="124"/>
      <c r="H825" s="122"/>
      <c r="I825" s="82"/>
      <c r="J825" s="82"/>
      <c r="K825" s="82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2.75" customHeight="1" x14ac:dyDescent="0.25">
      <c r="A826" s="122"/>
      <c r="B826" s="122"/>
      <c r="C826" s="100"/>
      <c r="D826" s="123"/>
      <c r="E826" s="122"/>
      <c r="F826" s="122"/>
      <c r="G826" s="124"/>
      <c r="H826" s="122"/>
      <c r="I826" s="82"/>
      <c r="J826" s="82"/>
      <c r="K826" s="82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2.75" customHeight="1" x14ac:dyDescent="0.25">
      <c r="A827" s="122"/>
      <c r="B827" s="122"/>
      <c r="C827" s="100"/>
      <c r="D827" s="123"/>
      <c r="E827" s="122"/>
      <c r="F827" s="122"/>
      <c r="G827" s="124"/>
      <c r="H827" s="122"/>
      <c r="I827" s="82"/>
      <c r="J827" s="82"/>
      <c r="K827" s="82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2.75" customHeight="1" x14ac:dyDescent="0.25">
      <c r="A828" s="122"/>
      <c r="B828" s="122"/>
      <c r="C828" s="100"/>
      <c r="D828" s="123"/>
      <c r="E828" s="122"/>
      <c r="F828" s="122"/>
      <c r="G828" s="124"/>
      <c r="H828" s="122"/>
      <c r="I828" s="82"/>
      <c r="J828" s="82"/>
      <c r="K828" s="82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2.75" customHeight="1" x14ac:dyDescent="0.25">
      <c r="A829" s="122"/>
      <c r="B829" s="122"/>
      <c r="C829" s="100"/>
      <c r="D829" s="123"/>
      <c r="E829" s="122"/>
      <c r="F829" s="122"/>
      <c r="G829" s="124"/>
      <c r="H829" s="122"/>
      <c r="I829" s="82"/>
      <c r="J829" s="82"/>
      <c r="K829" s="82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2.75" customHeight="1" x14ac:dyDescent="0.25">
      <c r="A830" s="122"/>
      <c r="B830" s="122"/>
      <c r="C830" s="100"/>
      <c r="D830" s="123"/>
      <c r="E830" s="122"/>
      <c r="F830" s="122"/>
      <c r="G830" s="124"/>
      <c r="H830" s="122"/>
      <c r="I830" s="82"/>
      <c r="J830" s="82"/>
      <c r="K830" s="82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2.75" customHeight="1" x14ac:dyDescent="0.25">
      <c r="A831" s="122"/>
      <c r="B831" s="122"/>
      <c r="C831" s="100"/>
      <c r="D831" s="123"/>
      <c r="E831" s="122"/>
      <c r="F831" s="122"/>
      <c r="G831" s="124"/>
      <c r="H831" s="122"/>
      <c r="I831" s="82"/>
      <c r="J831" s="82"/>
      <c r="K831" s="82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2.75" customHeight="1" x14ac:dyDescent="0.25">
      <c r="A832" s="122"/>
      <c r="B832" s="122"/>
      <c r="C832" s="100"/>
      <c r="D832" s="123"/>
      <c r="E832" s="122"/>
      <c r="F832" s="122"/>
      <c r="G832" s="124"/>
      <c r="H832" s="122"/>
      <c r="I832" s="82"/>
      <c r="J832" s="82"/>
      <c r="K832" s="82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2.75" customHeight="1" x14ac:dyDescent="0.25">
      <c r="A833" s="122"/>
      <c r="B833" s="122"/>
      <c r="C833" s="100"/>
      <c r="D833" s="123"/>
      <c r="E833" s="122"/>
      <c r="F833" s="122"/>
      <c r="G833" s="124"/>
      <c r="H833" s="122"/>
      <c r="I833" s="82"/>
      <c r="J833" s="82"/>
      <c r="K833" s="82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2.75" customHeight="1" x14ac:dyDescent="0.25">
      <c r="A834" s="122"/>
      <c r="B834" s="122"/>
      <c r="C834" s="100"/>
      <c r="D834" s="123"/>
      <c r="E834" s="122"/>
      <c r="F834" s="122"/>
      <c r="G834" s="124"/>
      <c r="H834" s="122"/>
      <c r="I834" s="82"/>
      <c r="J834" s="82"/>
      <c r="K834" s="82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2.75" customHeight="1" x14ac:dyDescent="0.25">
      <c r="A835" s="122"/>
      <c r="B835" s="122"/>
      <c r="C835" s="100"/>
      <c r="D835" s="123"/>
      <c r="E835" s="122"/>
      <c r="F835" s="122"/>
      <c r="G835" s="124"/>
      <c r="H835" s="122"/>
      <c r="I835" s="82"/>
      <c r="J835" s="82"/>
      <c r="K835" s="82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2.75" customHeight="1" x14ac:dyDescent="0.25">
      <c r="A836" s="122"/>
      <c r="B836" s="122"/>
      <c r="C836" s="100"/>
      <c r="D836" s="123"/>
      <c r="E836" s="122"/>
      <c r="F836" s="122"/>
      <c r="G836" s="124"/>
      <c r="H836" s="122"/>
      <c r="I836" s="82"/>
      <c r="J836" s="82"/>
      <c r="K836" s="82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2.75" customHeight="1" x14ac:dyDescent="0.25">
      <c r="A837" s="122"/>
      <c r="B837" s="122"/>
      <c r="C837" s="100"/>
      <c r="D837" s="123"/>
      <c r="E837" s="122"/>
      <c r="F837" s="122"/>
      <c r="G837" s="124"/>
      <c r="H837" s="122"/>
      <c r="I837" s="82"/>
      <c r="J837" s="82"/>
      <c r="K837" s="82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2.75" customHeight="1" x14ac:dyDescent="0.25">
      <c r="A838" s="122"/>
      <c r="B838" s="122"/>
      <c r="C838" s="100"/>
      <c r="D838" s="123"/>
      <c r="E838" s="122"/>
      <c r="F838" s="122"/>
      <c r="G838" s="124"/>
      <c r="H838" s="122"/>
      <c r="I838" s="82"/>
      <c r="J838" s="82"/>
      <c r="K838" s="82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2.75" customHeight="1" x14ac:dyDescent="0.25">
      <c r="A839" s="122"/>
      <c r="B839" s="122"/>
      <c r="C839" s="100"/>
      <c r="D839" s="123"/>
      <c r="E839" s="122"/>
      <c r="F839" s="122"/>
      <c r="G839" s="124"/>
      <c r="H839" s="122"/>
      <c r="I839" s="82"/>
      <c r="J839" s="82"/>
      <c r="K839" s="82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2.75" customHeight="1" x14ac:dyDescent="0.25">
      <c r="A840" s="122"/>
      <c r="B840" s="122"/>
      <c r="C840" s="100"/>
      <c r="D840" s="123"/>
      <c r="E840" s="122"/>
      <c r="F840" s="122"/>
      <c r="G840" s="124"/>
      <c r="H840" s="122"/>
      <c r="I840" s="82"/>
      <c r="J840" s="82"/>
      <c r="K840" s="82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2.75" customHeight="1" x14ac:dyDescent="0.25">
      <c r="A841" s="122"/>
      <c r="B841" s="122"/>
      <c r="C841" s="100"/>
      <c r="D841" s="123"/>
      <c r="E841" s="122"/>
      <c r="F841" s="122"/>
      <c r="G841" s="124"/>
      <c r="H841" s="122"/>
      <c r="I841" s="82"/>
      <c r="J841" s="82"/>
      <c r="K841" s="82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2.75" customHeight="1" x14ac:dyDescent="0.25">
      <c r="A842" s="122"/>
      <c r="B842" s="122"/>
      <c r="C842" s="100"/>
      <c r="D842" s="123"/>
      <c r="E842" s="122"/>
      <c r="F842" s="122"/>
      <c r="G842" s="124"/>
      <c r="H842" s="122"/>
      <c r="I842" s="82"/>
      <c r="J842" s="82"/>
      <c r="K842" s="82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2.75" customHeight="1" x14ac:dyDescent="0.25">
      <c r="A843" s="122"/>
      <c r="B843" s="122"/>
      <c r="C843" s="100"/>
      <c r="D843" s="123"/>
      <c r="E843" s="122"/>
      <c r="F843" s="122"/>
      <c r="G843" s="124"/>
      <c r="H843" s="122"/>
      <c r="I843" s="82"/>
      <c r="J843" s="82"/>
      <c r="K843" s="82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2.75" customHeight="1" x14ac:dyDescent="0.25">
      <c r="A844" s="122"/>
      <c r="B844" s="122"/>
      <c r="C844" s="100"/>
      <c r="D844" s="123"/>
      <c r="E844" s="122"/>
      <c r="F844" s="122"/>
      <c r="G844" s="124"/>
      <c r="H844" s="122"/>
      <c r="I844" s="82"/>
      <c r="J844" s="82"/>
      <c r="K844" s="82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2.75" customHeight="1" x14ac:dyDescent="0.25">
      <c r="A845" s="122"/>
      <c r="B845" s="122"/>
      <c r="C845" s="100"/>
      <c r="D845" s="123"/>
      <c r="E845" s="122"/>
      <c r="F845" s="122"/>
      <c r="G845" s="124"/>
      <c r="H845" s="122"/>
      <c r="I845" s="82"/>
      <c r="J845" s="82"/>
      <c r="K845" s="82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2.75" customHeight="1" x14ac:dyDescent="0.25">
      <c r="A846" s="122"/>
      <c r="B846" s="122"/>
      <c r="C846" s="100"/>
      <c r="D846" s="123"/>
      <c r="E846" s="122"/>
      <c r="F846" s="122"/>
      <c r="G846" s="124"/>
      <c r="H846" s="122"/>
      <c r="I846" s="82"/>
      <c r="J846" s="82"/>
      <c r="K846" s="82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2.75" customHeight="1" x14ac:dyDescent="0.25">
      <c r="A847" s="122"/>
      <c r="B847" s="122"/>
      <c r="C847" s="100"/>
      <c r="D847" s="123"/>
      <c r="E847" s="122"/>
      <c r="F847" s="122"/>
      <c r="G847" s="124"/>
      <c r="H847" s="122"/>
      <c r="I847" s="82"/>
      <c r="J847" s="82"/>
      <c r="K847" s="82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2.75" customHeight="1" x14ac:dyDescent="0.25">
      <c r="A848" s="122"/>
      <c r="B848" s="122"/>
      <c r="C848" s="100"/>
      <c r="D848" s="123"/>
      <c r="E848" s="122"/>
      <c r="F848" s="122"/>
      <c r="G848" s="124"/>
      <c r="H848" s="122"/>
      <c r="I848" s="82"/>
      <c r="J848" s="82"/>
      <c r="K848" s="82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2.75" customHeight="1" x14ac:dyDescent="0.25">
      <c r="A849" s="122"/>
      <c r="B849" s="122"/>
      <c r="C849" s="100"/>
      <c r="D849" s="123"/>
      <c r="E849" s="122"/>
      <c r="F849" s="122"/>
      <c r="G849" s="124"/>
      <c r="H849" s="122"/>
      <c r="I849" s="82"/>
      <c r="J849" s="82"/>
      <c r="K849" s="82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2.75" customHeight="1" x14ac:dyDescent="0.25">
      <c r="A850" s="122"/>
      <c r="B850" s="122"/>
      <c r="C850" s="100"/>
      <c r="D850" s="123"/>
      <c r="E850" s="122"/>
      <c r="F850" s="122"/>
      <c r="G850" s="124"/>
      <c r="H850" s="122"/>
      <c r="I850" s="82"/>
      <c r="J850" s="82"/>
      <c r="K850" s="82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2.75" customHeight="1" x14ac:dyDescent="0.25">
      <c r="A851" s="122"/>
      <c r="B851" s="122"/>
      <c r="C851" s="100"/>
      <c r="D851" s="123"/>
      <c r="E851" s="122"/>
      <c r="F851" s="122"/>
      <c r="G851" s="124"/>
      <c r="H851" s="122"/>
      <c r="I851" s="82"/>
      <c r="J851" s="82"/>
      <c r="K851" s="82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2.75" customHeight="1" x14ac:dyDescent="0.25">
      <c r="A852" s="122"/>
      <c r="B852" s="122"/>
      <c r="C852" s="100"/>
      <c r="D852" s="123"/>
      <c r="E852" s="122"/>
      <c r="F852" s="122"/>
      <c r="G852" s="124"/>
      <c r="H852" s="122"/>
      <c r="I852" s="82"/>
      <c r="J852" s="82"/>
      <c r="K852" s="82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2.75" customHeight="1" x14ac:dyDescent="0.25">
      <c r="A853" s="122"/>
      <c r="B853" s="122"/>
      <c r="C853" s="100"/>
      <c r="D853" s="123"/>
      <c r="E853" s="122"/>
      <c r="F853" s="122"/>
      <c r="G853" s="124"/>
      <c r="H853" s="122"/>
      <c r="I853" s="82"/>
      <c r="J853" s="82"/>
      <c r="K853" s="82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2.75" customHeight="1" x14ac:dyDescent="0.25">
      <c r="A854" s="122"/>
      <c r="B854" s="122"/>
      <c r="C854" s="100"/>
      <c r="D854" s="123"/>
      <c r="E854" s="122"/>
      <c r="F854" s="122"/>
      <c r="G854" s="124"/>
      <c r="H854" s="122"/>
      <c r="I854" s="82"/>
      <c r="J854" s="82"/>
      <c r="K854" s="82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2.75" customHeight="1" x14ac:dyDescent="0.25">
      <c r="A855" s="122"/>
      <c r="B855" s="122"/>
      <c r="C855" s="100"/>
      <c r="D855" s="123"/>
      <c r="E855" s="122"/>
      <c r="F855" s="122"/>
      <c r="G855" s="124"/>
      <c r="H855" s="122"/>
      <c r="I855" s="82"/>
      <c r="J855" s="82"/>
      <c r="K855" s="82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2.75" customHeight="1" x14ac:dyDescent="0.25">
      <c r="A856" s="122"/>
      <c r="B856" s="122"/>
      <c r="C856" s="100"/>
      <c r="D856" s="123"/>
      <c r="E856" s="122"/>
      <c r="F856" s="122"/>
      <c r="G856" s="124"/>
      <c r="H856" s="122"/>
      <c r="I856" s="82"/>
      <c r="J856" s="82"/>
      <c r="K856" s="82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2.75" customHeight="1" x14ac:dyDescent="0.25">
      <c r="A857" s="122"/>
      <c r="B857" s="122"/>
      <c r="C857" s="100"/>
      <c r="D857" s="123"/>
      <c r="E857" s="122"/>
      <c r="F857" s="122"/>
      <c r="G857" s="124"/>
      <c r="H857" s="122"/>
      <c r="I857" s="82"/>
      <c r="J857" s="82"/>
      <c r="K857" s="82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2.75" customHeight="1" x14ac:dyDescent="0.25">
      <c r="A858" s="122"/>
      <c r="B858" s="122"/>
      <c r="C858" s="100"/>
      <c r="D858" s="123"/>
      <c r="E858" s="122"/>
      <c r="F858" s="122"/>
      <c r="G858" s="124"/>
      <c r="H858" s="122"/>
      <c r="I858" s="82"/>
      <c r="J858" s="82"/>
      <c r="K858" s="82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2.75" customHeight="1" x14ac:dyDescent="0.25">
      <c r="A859" s="122"/>
      <c r="B859" s="122"/>
      <c r="C859" s="100"/>
      <c r="D859" s="123"/>
      <c r="E859" s="122"/>
      <c r="F859" s="122"/>
      <c r="G859" s="124"/>
      <c r="H859" s="122"/>
      <c r="I859" s="82"/>
      <c r="J859" s="82"/>
      <c r="K859" s="82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2.75" customHeight="1" x14ac:dyDescent="0.25">
      <c r="A860" s="122"/>
      <c r="B860" s="122"/>
      <c r="C860" s="100"/>
      <c r="D860" s="123"/>
      <c r="E860" s="122"/>
      <c r="F860" s="122"/>
      <c r="G860" s="124"/>
      <c r="H860" s="122"/>
      <c r="I860" s="82"/>
      <c r="J860" s="82"/>
      <c r="K860" s="82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2.75" customHeight="1" x14ac:dyDescent="0.25">
      <c r="A861" s="122"/>
      <c r="B861" s="122"/>
      <c r="C861" s="100"/>
      <c r="D861" s="123"/>
      <c r="E861" s="122"/>
      <c r="F861" s="122"/>
      <c r="G861" s="124"/>
      <c r="H861" s="122"/>
      <c r="I861" s="82"/>
      <c r="J861" s="82"/>
      <c r="K861" s="82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2.75" customHeight="1" x14ac:dyDescent="0.25">
      <c r="A862" s="122"/>
      <c r="B862" s="122"/>
      <c r="C862" s="100"/>
      <c r="D862" s="123"/>
      <c r="E862" s="122"/>
      <c r="F862" s="122"/>
      <c r="G862" s="124"/>
      <c r="H862" s="122"/>
      <c r="I862" s="82"/>
      <c r="J862" s="82"/>
      <c r="K862" s="82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2.75" customHeight="1" x14ac:dyDescent="0.25">
      <c r="A863" s="122"/>
      <c r="B863" s="122"/>
      <c r="C863" s="100"/>
      <c r="D863" s="123"/>
      <c r="E863" s="122"/>
      <c r="F863" s="122"/>
      <c r="G863" s="124"/>
      <c r="H863" s="122"/>
      <c r="I863" s="82"/>
      <c r="J863" s="82"/>
      <c r="K863" s="82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2.75" customHeight="1" x14ac:dyDescent="0.25">
      <c r="A864" s="122"/>
      <c r="B864" s="122"/>
      <c r="C864" s="100"/>
      <c r="D864" s="123"/>
      <c r="E864" s="122"/>
      <c r="F864" s="122"/>
      <c r="G864" s="124"/>
      <c r="H864" s="122"/>
      <c r="I864" s="82"/>
      <c r="J864" s="82"/>
      <c r="K864" s="82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2.75" customHeight="1" x14ac:dyDescent="0.25">
      <c r="A865" s="122"/>
      <c r="B865" s="122"/>
      <c r="C865" s="100"/>
      <c r="D865" s="123"/>
      <c r="E865" s="122"/>
      <c r="F865" s="122"/>
      <c r="G865" s="124"/>
      <c r="H865" s="122"/>
      <c r="I865" s="82"/>
      <c r="J865" s="82"/>
      <c r="K865" s="82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2.75" customHeight="1" x14ac:dyDescent="0.25">
      <c r="A866" s="122"/>
      <c r="B866" s="122"/>
      <c r="C866" s="100"/>
      <c r="D866" s="123"/>
      <c r="E866" s="122"/>
      <c r="F866" s="122"/>
      <c r="G866" s="124"/>
      <c r="H866" s="122"/>
      <c r="I866" s="82"/>
      <c r="J866" s="82"/>
      <c r="K866" s="82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2.75" customHeight="1" x14ac:dyDescent="0.25">
      <c r="A867" s="122"/>
      <c r="B867" s="122"/>
      <c r="C867" s="100"/>
      <c r="D867" s="123"/>
      <c r="E867" s="122"/>
      <c r="F867" s="122"/>
      <c r="G867" s="124"/>
      <c r="H867" s="122"/>
      <c r="I867" s="82"/>
      <c r="J867" s="82"/>
      <c r="K867" s="82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2.75" customHeight="1" x14ac:dyDescent="0.25">
      <c r="A868" s="122"/>
      <c r="B868" s="122"/>
      <c r="C868" s="100"/>
      <c r="D868" s="123"/>
      <c r="E868" s="122"/>
      <c r="F868" s="122"/>
      <c r="G868" s="124"/>
      <c r="H868" s="122"/>
      <c r="I868" s="82"/>
      <c r="J868" s="82"/>
      <c r="K868" s="82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2.75" customHeight="1" x14ac:dyDescent="0.25">
      <c r="A869" s="122"/>
      <c r="B869" s="122"/>
      <c r="C869" s="100"/>
      <c r="D869" s="123"/>
      <c r="E869" s="122"/>
      <c r="F869" s="122"/>
      <c r="G869" s="124"/>
      <c r="H869" s="122"/>
      <c r="I869" s="82"/>
      <c r="J869" s="82"/>
      <c r="K869" s="82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2.75" customHeight="1" x14ac:dyDescent="0.25">
      <c r="A870" s="122"/>
      <c r="B870" s="122"/>
      <c r="C870" s="100"/>
      <c r="D870" s="123"/>
      <c r="E870" s="122"/>
      <c r="F870" s="122"/>
      <c r="G870" s="124"/>
      <c r="H870" s="122"/>
      <c r="I870" s="82"/>
      <c r="J870" s="82"/>
      <c r="K870" s="82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2.75" customHeight="1" x14ac:dyDescent="0.25">
      <c r="A871" s="122"/>
      <c r="B871" s="122"/>
      <c r="C871" s="100"/>
      <c r="D871" s="123"/>
      <c r="E871" s="122"/>
      <c r="F871" s="122"/>
      <c r="G871" s="124"/>
      <c r="H871" s="122"/>
      <c r="I871" s="82"/>
      <c r="J871" s="82"/>
      <c r="K871" s="82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2.75" customHeight="1" x14ac:dyDescent="0.25">
      <c r="A872" s="122"/>
      <c r="B872" s="122"/>
      <c r="C872" s="100"/>
      <c r="D872" s="123"/>
      <c r="E872" s="122"/>
      <c r="F872" s="122"/>
      <c r="G872" s="124"/>
      <c r="H872" s="122"/>
      <c r="I872" s="82"/>
      <c r="J872" s="82"/>
      <c r="K872" s="82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2.75" customHeight="1" x14ac:dyDescent="0.25">
      <c r="A873" s="122"/>
      <c r="B873" s="122"/>
      <c r="C873" s="100"/>
      <c r="D873" s="123"/>
      <c r="E873" s="122"/>
      <c r="F873" s="122"/>
      <c r="G873" s="124"/>
      <c r="H873" s="122"/>
      <c r="I873" s="82"/>
      <c r="J873" s="82"/>
      <c r="K873" s="82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2.75" customHeight="1" x14ac:dyDescent="0.25">
      <c r="A874" s="122"/>
      <c r="B874" s="122"/>
      <c r="C874" s="100"/>
      <c r="D874" s="123"/>
      <c r="E874" s="122"/>
      <c r="F874" s="122"/>
      <c r="G874" s="124"/>
      <c r="H874" s="122"/>
      <c r="I874" s="82"/>
      <c r="J874" s="82"/>
      <c r="K874" s="82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2.75" customHeight="1" x14ac:dyDescent="0.25">
      <c r="A875" s="122"/>
      <c r="B875" s="122"/>
      <c r="C875" s="100"/>
      <c r="D875" s="123"/>
      <c r="E875" s="122"/>
      <c r="F875" s="122"/>
      <c r="G875" s="124"/>
      <c r="H875" s="122"/>
      <c r="I875" s="82"/>
      <c r="J875" s="82"/>
      <c r="K875" s="82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2.75" customHeight="1" x14ac:dyDescent="0.25">
      <c r="A876" s="122"/>
      <c r="B876" s="122"/>
      <c r="C876" s="100"/>
      <c r="D876" s="123"/>
      <c r="E876" s="122"/>
      <c r="F876" s="122"/>
      <c r="G876" s="124"/>
      <c r="H876" s="122"/>
      <c r="I876" s="82"/>
      <c r="J876" s="82"/>
      <c r="K876" s="82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2.75" customHeight="1" x14ac:dyDescent="0.25">
      <c r="A877" s="122"/>
      <c r="B877" s="122"/>
      <c r="C877" s="100"/>
      <c r="D877" s="123"/>
      <c r="E877" s="122"/>
      <c r="F877" s="122"/>
      <c r="G877" s="124"/>
      <c r="H877" s="122"/>
      <c r="I877" s="82"/>
      <c r="J877" s="82"/>
      <c r="K877" s="82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2.75" customHeight="1" x14ac:dyDescent="0.25">
      <c r="A878" s="122"/>
      <c r="B878" s="122"/>
      <c r="C878" s="100"/>
      <c r="D878" s="123"/>
      <c r="E878" s="122"/>
      <c r="F878" s="122"/>
      <c r="G878" s="124"/>
      <c r="H878" s="122"/>
      <c r="I878" s="82"/>
      <c r="J878" s="82"/>
      <c r="K878" s="82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2.75" customHeight="1" x14ac:dyDescent="0.25">
      <c r="A879" s="122"/>
      <c r="B879" s="122"/>
      <c r="C879" s="100"/>
      <c r="D879" s="123"/>
      <c r="E879" s="122"/>
      <c r="F879" s="122"/>
      <c r="G879" s="124"/>
      <c r="H879" s="122"/>
      <c r="I879" s="82"/>
      <c r="J879" s="82"/>
      <c r="K879" s="82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2.75" customHeight="1" x14ac:dyDescent="0.25">
      <c r="A880" s="122"/>
      <c r="B880" s="122"/>
      <c r="C880" s="100"/>
      <c r="D880" s="123"/>
      <c r="E880" s="122"/>
      <c r="F880" s="122"/>
      <c r="G880" s="124"/>
      <c r="H880" s="122"/>
      <c r="I880" s="82"/>
      <c r="J880" s="82"/>
      <c r="K880" s="82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2.75" customHeight="1" x14ac:dyDescent="0.25">
      <c r="A881" s="122"/>
      <c r="B881" s="122"/>
      <c r="C881" s="100"/>
      <c r="D881" s="123"/>
      <c r="E881" s="122"/>
      <c r="F881" s="122"/>
      <c r="G881" s="124"/>
      <c r="H881" s="122"/>
      <c r="I881" s="82"/>
      <c r="J881" s="82"/>
      <c r="K881" s="82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2.75" customHeight="1" x14ac:dyDescent="0.25">
      <c r="A882" s="122"/>
      <c r="B882" s="122"/>
      <c r="C882" s="100"/>
      <c r="D882" s="123"/>
      <c r="E882" s="122"/>
      <c r="F882" s="122"/>
      <c r="G882" s="124"/>
      <c r="H882" s="122"/>
      <c r="I882" s="82"/>
      <c r="J882" s="82"/>
      <c r="K882" s="82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2.75" customHeight="1" x14ac:dyDescent="0.25">
      <c r="A883" s="122"/>
      <c r="B883" s="122"/>
      <c r="C883" s="100"/>
      <c r="D883" s="123"/>
      <c r="E883" s="122"/>
      <c r="F883" s="122"/>
      <c r="G883" s="124"/>
      <c r="H883" s="122"/>
      <c r="I883" s="82"/>
      <c r="J883" s="82"/>
      <c r="K883" s="82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2.75" customHeight="1" x14ac:dyDescent="0.25">
      <c r="A884" s="122"/>
      <c r="B884" s="122"/>
      <c r="C884" s="100"/>
      <c r="D884" s="123"/>
      <c r="E884" s="122"/>
      <c r="F884" s="122"/>
      <c r="G884" s="124"/>
      <c r="H884" s="122"/>
      <c r="I884" s="82"/>
      <c r="J884" s="82"/>
      <c r="K884" s="82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2.75" customHeight="1" x14ac:dyDescent="0.25">
      <c r="A885" s="122"/>
      <c r="B885" s="122"/>
      <c r="C885" s="100"/>
      <c r="D885" s="123"/>
      <c r="E885" s="122"/>
      <c r="F885" s="122"/>
      <c r="G885" s="124"/>
      <c r="H885" s="122"/>
      <c r="I885" s="82"/>
      <c r="J885" s="82"/>
      <c r="K885" s="82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2.75" customHeight="1" x14ac:dyDescent="0.25">
      <c r="A886" s="122"/>
      <c r="B886" s="122"/>
      <c r="C886" s="100"/>
      <c r="D886" s="123"/>
      <c r="E886" s="122"/>
      <c r="F886" s="122"/>
      <c r="G886" s="124"/>
      <c r="H886" s="122"/>
      <c r="I886" s="82"/>
      <c r="J886" s="82"/>
      <c r="K886" s="82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2.75" customHeight="1" x14ac:dyDescent="0.25">
      <c r="A887" s="122"/>
      <c r="B887" s="122"/>
      <c r="C887" s="100"/>
      <c r="D887" s="123"/>
      <c r="E887" s="122"/>
      <c r="F887" s="122"/>
      <c r="G887" s="124"/>
      <c r="H887" s="122"/>
      <c r="I887" s="82"/>
      <c r="J887" s="82"/>
      <c r="K887" s="82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2.75" customHeight="1" x14ac:dyDescent="0.25">
      <c r="A888" s="122"/>
      <c r="B888" s="122"/>
      <c r="C888" s="100"/>
      <c r="D888" s="123"/>
      <c r="E888" s="122"/>
      <c r="F888" s="122"/>
      <c r="G888" s="124"/>
      <c r="H888" s="122"/>
      <c r="I888" s="82"/>
      <c r="J888" s="82"/>
      <c r="K888" s="82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2.75" customHeight="1" x14ac:dyDescent="0.25">
      <c r="A889" s="122"/>
      <c r="B889" s="122"/>
      <c r="C889" s="100"/>
      <c r="D889" s="123"/>
      <c r="E889" s="122"/>
      <c r="F889" s="122"/>
      <c r="G889" s="124"/>
      <c r="H889" s="122"/>
      <c r="I889" s="82"/>
      <c r="J889" s="82"/>
      <c r="K889" s="82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2.75" customHeight="1" x14ac:dyDescent="0.25">
      <c r="A890" s="122"/>
      <c r="B890" s="122"/>
      <c r="C890" s="100"/>
      <c r="D890" s="123"/>
      <c r="E890" s="122"/>
      <c r="F890" s="122"/>
      <c r="G890" s="124"/>
      <c r="H890" s="122"/>
      <c r="I890" s="82"/>
      <c r="J890" s="82"/>
      <c r="K890" s="82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2.75" customHeight="1" x14ac:dyDescent="0.25">
      <c r="A891" s="122"/>
      <c r="B891" s="122"/>
      <c r="C891" s="100"/>
      <c r="D891" s="123"/>
      <c r="E891" s="122"/>
      <c r="F891" s="122"/>
      <c r="G891" s="124"/>
      <c r="H891" s="122"/>
      <c r="I891" s="82"/>
      <c r="J891" s="82"/>
      <c r="K891" s="82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2.75" customHeight="1" x14ac:dyDescent="0.25">
      <c r="A892" s="122"/>
      <c r="B892" s="122"/>
      <c r="C892" s="100"/>
      <c r="D892" s="123"/>
      <c r="E892" s="122"/>
      <c r="F892" s="122"/>
      <c r="G892" s="124"/>
      <c r="H892" s="122"/>
      <c r="I892" s="82"/>
      <c r="J892" s="82"/>
      <c r="K892" s="82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2.75" customHeight="1" x14ac:dyDescent="0.25">
      <c r="A893" s="122"/>
      <c r="B893" s="122"/>
      <c r="C893" s="100"/>
      <c r="D893" s="123"/>
      <c r="E893" s="122"/>
      <c r="F893" s="122"/>
      <c r="G893" s="124"/>
      <c r="H893" s="122"/>
      <c r="I893" s="82"/>
      <c r="J893" s="82"/>
      <c r="K893" s="82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2.75" customHeight="1" x14ac:dyDescent="0.25">
      <c r="A894" s="122"/>
      <c r="B894" s="122"/>
      <c r="C894" s="100"/>
      <c r="D894" s="123"/>
      <c r="E894" s="122"/>
      <c r="F894" s="122"/>
      <c r="G894" s="124"/>
      <c r="H894" s="122"/>
      <c r="I894" s="82"/>
      <c r="J894" s="82"/>
      <c r="K894" s="82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2.75" customHeight="1" x14ac:dyDescent="0.25">
      <c r="A895" s="122"/>
      <c r="B895" s="122"/>
      <c r="C895" s="100"/>
      <c r="D895" s="123"/>
      <c r="E895" s="122"/>
      <c r="F895" s="122"/>
      <c r="G895" s="124"/>
      <c r="H895" s="122"/>
      <c r="I895" s="82"/>
      <c r="J895" s="82"/>
      <c r="K895" s="82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2.75" customHeight="1" x14ac:dyDescent="0.25">
      <c r="A896" s="122"/>
      <c r="B896" s="122"/>
      <c r="C896" s="100"/>
      <c r="D896" s="123"/>
      <c r="E896" s="122"/>
      <c r="F896" s="122"/>
      <c r="G896" s="124"/>
      <c r="H896" s="122"/>
      <c r="I896" s="82"/>
      <c r="J896" s="82"/>
      <c r="K896" s="82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2.75" customHeight="1" x14ac:dyDescent="0.25">
      <c r="A897" s="122"/>
      <c r="B897" s="122"/>
      <c r="C897" s="100"/>
      <c r="D897" s="123"/>
      <c r="E897" s="122"/>
      <c r="F897" s="122"/>
      <c r="G897" s="124"/>
      <c r="H897" s="122"/>
      <c r="I897" s="82"/>
      <c r="J897" s="82"/>
      <c r="K897" s="82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2.75" customHeight="1" x14ac:dyDescent="0.25">
      <c r="A898" s="122"/>
      <c r="B898" s="122"/>
      <c r="C898" s="100"/>
      <c r="D898" s="123"/>
      <c r="E898" s="122"/>
      <c r="F898" s="122"/>
      <c r="G898" s="124"/>
      <c r="H898" s="122"/>
      <c r="I898" s="82"/>
      <c r="J898" s="82"/>
      <c r="K898" s="82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2.75" customHeight="1" x14ac:dyDescent="0.25">
      <c r="A899" s="122"/>
      <c r="B899" s="122"/>
      <c r="C899" s="100"/>
      <c r="D899" s="123"/>
      <c r="E899" s="122"/>
      <c r="F899" s="122"/>
      <c r="G899" s="124"/>
      <c r="H899" s="122"/>
      <c r="I899" s="82"/>
      <c r="J899" s="82"/>
      <c r="K899" s="82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2.75" customHeight="1" x14ac:dyDescent="0.25">
      <c r="A900" s="122"/>
      <c r="B900" s="122"/>
      <c r="C900" s="100"/>
      <c r="D900" s="123"/>
      <c r="E900" s="122"/>
      <c r="F900" s="122"/>
      <c r="G900" s="124"/>
      <c r="H900" s="122"/>
      <c r="I900" s="82"/>
      <c r="J900" s="82"/>
      <c r="K900" s="82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2.75" customHeight="1" x14ac:dyDescent="0.25">
      <c r="A901" s="122"/>
      <c r="B901" s="122"/>
      <c r="C901" s="100"/>
      <c r="D901" s="123"/>
      <c r="E901" s="122"/>
      <c r="F901" s="122"/>
      <c r="G901" s="124"/>
      <c r="H901" s="122"/>
      <c r="I901" s="82"/>
      <c r="J901" s="82"/>
      <c r="K901" s="82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2.75" customHeight="1" x14ac:dyDescent="0.25">
      <c r="A902" s="122"/>
      <c r="B902" s="122"/>
      <c r="C902" s="100"/>
      <c r="D902" s="123"/>
      <c r="E902" s="122"/>
      <c r="F902" s="122"/>
      <c r="G902" s="124"/>
      <c r="H902" s="122"/>
      <c r="I902" s="82"/>
      <c r="J902" s="82"/>
      <c r="K902" s="82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2.75" customHeight="1" x14ac:dyDescent="0.25">
      <c r="A903" s="122"/>
      <c r="B903" s="122"/>
      <c r="C903" s="100"/>
      <c r="D903" s="123"/>
      <c r="E903" s="122"/>
      <c r="F903" s="122"/>
      <c r="G903" s="124"/>
      <c r="H903" s="122"/>
      <c r="I903" s="82"/>
      <c r="J903" s="82"/>
      <c r="K903" s="82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2.75" customHeight="1" x14ac:dyDescent="0.25">
      <c r="A904" s="122"/>
      <c r="B904" s="122"/>
      <c r="C904" s="100"/>
      <c r="D904" s="123"/>
      <c r="E904" s="122"/>
      <c r="F904" s="122"/>
      <c r="G904" s="124"/>
      <c r="H904" s="122"/>
      <c r="I904" s="82"/>
      <c r="J904" s="82"/>
      <c r="K904" s="82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2.75" customHeight="1" x14ac:dyDescent="0.25">
      <c r="A905" s="122"/>
      <c r="B905" s="122"/>
      <c r="C905" s="100"/>
      <c r="D905" s="123"/>
      <c r="E905" s="122"/>
      <c r="F905" s="122"/>
      <c r="G905" s="124"/>
      <c r="H905" s="122"/>
      <c r="I905" s="82"/>
      <c r="J905" s="82"/>
      <c r="K905" s="82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2.75" customHeight="1" x14ac:dyDescent="0.25">
      <c r="A906" s="122"/>
      <c r="B906" s="122"/>
      <c r="C906" s="100"/>
      <c r="D906" s="123"/>
      <c r="E906" s="122"/>
      <c r="F906" s="122"/>
      <c r="G906" s="124"/>
      <c r="H906" s="122"/>
      <c r="I906" s="82"/>
      <c r="J906" s="82"/>
      <c r="K906" s="82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2.75" customHeight="1" x14ac:dyDescent="0.25">
      <c r="A907" s="122"/>
      <c r="B907" s="122"/>
      <c r="C907" s="100"/>
      <c r="D907" s="123"/>
      <c r="E907" s="122"/>
      <c r="F907" s="122"/>
      <c r="G907" s="124"/>
      <c r="H907" s="122"/>
      <c r="I907" s="82"/>
      <c r="J907" s="82"/>
      <c r="K907" s="82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2.75" customHeight="1" x14ac:dyDescent="0.25">
      <c r="A908" s="122"/>
      <c r="B908" s="122"/>
      <c r="C908" s="100"/>
      <c r="D908" s="123"/>
      <c r="E908" s="122"/>
      <c r="F908" s="122"/>
      <c r="G908" s="124"/>
      <c r="H908" s="122"/>
      <c r="I908" s="82"/>
      <c r="J908" s="82"/>
      <c r="K908" s="82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2.75" customHeight="1" x14ac:dyDescent="0.25">
      <c r="A909" s="122"/>
      <c r="B909" s="122"/>
      <c r="C909" s="100"/>
      <c r="D909" s="123"/>
      <c r="E909" s="122"/>
      <c r="F909" s="122"/>
      <c r="G909" s="124"/>
      <c r="H909" s="122"/>
      <c r="I909" s="82"/>
      <c r="J909" s="82"/>
      <c r="K909" s="82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2.75" customHeight="1" x14ac:dyDescent="0.25">
      <c r="A910" s="122"/>
      <c r="B910" s="122"/>
      <c r="C910" s="100"/>
      <c r="D910" s="123"/>
      <c r="E910" s="122"/>
      <c r="F910" s="122"/>
      <c r="G910" s="124"/>
      <c r="H910" s="122"/>
      <c r="I910" s="82"/>
      <c r="J910" s="82"/>
      <c r="K910" s="82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2.75" customHeight="1" x14ac:dyDescent="0.25">
      <c r="A911" s="122"/>
      <c r="B911" s="122"/>
      <c r="C911" s="100"/>
      <c r="D911" s="123"/>
      <c r="E911" s="122"/>
      <c r="F911" s="122"/>
      <c r="G911" s="124"/>
      <c r="H911" s="122"/>
      <c r="I911" s="82"/>
      <c r="J911" s="82"/>
      <c r="K911" s="82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2.75" customHeight="1" x14ac:dyDescent="0.25">
      <c r="A912" s="122"/>
      <c r="B912" s="122"/>
      <c r="C912" s="100"/>
      <c r="D912" s="123"/>
      <c r="E912" s="122"/>
      <c r="F912" s="122"/>
      <c r="G912" s="124"/>
      <c r="H912" s="122"/>
      <c r="I912" s="82"/>
      <c r="J912" s="82"/>
      <c r="K912" s="82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2.75" customHeight="1" x14ac:dyDescent="0.25">
      <c r="A913" s="122"/>
      <c r="B913" s="122"/>
      <c r="C913" s="100"/>
      <c r="D913" s="123"/>
      <c r="E913" s="122"/>
      <c r="F913" s="122"/>
      <c r="G913" s="124"/>
      <c r="H913" s="122"/>
      <c r="I913" s="82"/>
      <c r="J913" s="82"/>
      <c r="K913" s="82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2.75" customHeight="1" x14ac:dyDescent="0.25">
      <c r="A914" s="122"/>
      <c r="B914" s="122"/>
      <c r="C914" s="100"/>
      <c r="D914" s="123"/>
      <c r="E914" s="122"/>
      <c r="F914" s="122"/>
      <c r="G914" s="124"/>
      <c r="H914" s="122"/>
      <c r="I914" s="82"/>
      <c r="J914" s="82"/>
      <c r="K914" s="82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2.75" customHeight="1" x14ac:dyDescent="0.25">
      <c r="A915" s="122"/>
      <c r="B915" s="122"/>
      <c r="C915" s="100"/>
      <c r="D915" s="123"/>
      <c r="E915" s="122"/>
      <c r="F915" s="122"/>
      <c r="G915" s="124"/>
      <c r="H915" s="122"/>
      <c r="I915" s="82"/>
      <c r="J915" s="82"/>
      <c r="K915" s="82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2.75" customHeight="1" x14ac:dyDescent="0.25">
      <c r="A916" s="122"/>
      <c r="B916" s="122"/>
      <c r="C916" s="100"/>
      <c r="D916" s="123"/>
      <c r="E916" s="122"/>
      <c r="F916" s="122"/>
      <c r="G916" s="124"/>
      <c r="H916" s="122"/>
      <c r="I916" s="82"/>
      <c r="J916" s="82"/>
      <c r="K916" s="82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2.75" customHeight="1" x14ac:dyDescent="0.25">
      <c r="A917" s="122"/>
      <c r="B917" s="122"/>
      <c r="C917" s="100"/>
      <c r="D917" s="123"/>
      <c r="E917" s="122"/>
      <c r="F917" s="122"/>
      <c r="G917" s="124"/>
      <c r="H917" s="122"/>
      <c r="I917" s="82"/>
      <c r="J917" s="82"/>
      <c r="K917" s="82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2.75" customHeight="1" x14ac:dyDescent="0.25">
      <c r="A918" s="122"/>
      <c r="B918" s="122"/>
      <c r="C918" s="100"/>
      <c r="D918" s="123"/>
      <c r="E918" s="122"/>
      <c r="F918" s="122"/>
      <c r="G918" s="124"/>
      <c r="H918" s="122"/>
      <c r="I918" s="82"/>
      <c r="J918" s="82"/>
      <c r="K918" s="82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2.75" customHeight="1" x14ac:dyDescent="0.25">
      <c r="A919" s="122"/>
      <c r="B919" s="122"/>
      <c r="C919" s="100"/>
      <c r="D919" s="123"/>
      <c r="E919" s="122"/>
      <c r="F919" s="122"/>
      <c r="G919" s="124"/>
      <c r="H919" s="122"/>
      <c r="I919" s="82"/>
      <c r="J919" s="82"/>
      <c r="K919" s="82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2.75" customHeight="1" x14ac:dyDescent="0.25">
      <c r="A920" s="122"/>
      <c r="B920" s="122"/>
      <c r="C920" s="100"/>
      <c r="D920" s="123"/>
      <c r="E920" s="122"/>
      <c r="F920" s="122"/>
      <c r="G920" s="124"/>
      <c r="H920" s="122"/>
      <c r="I920" s="82"/>
      <c r="J920" s="82"/>
      <c r="K920" s="82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2.75" customHeight="1" x14ac:dyDescent="0.25">
      <c r="A921" s="122"/>
      <c r="B921" s="122"/>
      <c r="C921" s="100"/>
      <c r="D921" s="123"/>
      <c r="E921" s="122"/>
      <c r="F921" s="122"/>
      <c r="G921" s="124"/>
      <c r="H921" s="122"/>
      <c r="I921" s="82"/>
      <c r="J921" s="82"/>
      <c r="K921" s="82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2.75" customHeight="1" x14ac:dyDescent="0.25">
      <c r="A922" s="122"/>
      <c r="B922" s="122"/>
      <c r="C922" s="100"/>
      <c r="D922" s="123"/>
      <c r="E922" s="122"/>
      <c r="F922" s="122"/>
      <c r="G922" s="124"/>
      <c r="H922" s="122"/>
      <c r="I922" s="82"/>
      <c r="J922" s="82"/>
      <c r="K922" s="82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2.75" customHeight="1" x14ac:dyDescent="0.25">
      <c r="A923" s="122"/>
      <c r="B923" s="122"/>
      <c r="C923" s="100"/>
      <c r="D923" s="123"/>
      <c r="E923" s="122"/>
      <c r="F923" s="122"/>
      <c r="G923" s="124"/>
      <c r="H923" s="122"/>
      <c r="I923" s="82"/>
      <c r="J923" s="82"/>
      <c r="K923" s="82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2.75" customHeight="1" x14ac:dyDescent="0.25">
      <c r="A924" s="122"/>
      <c r="B924" s="122"/>
      <c r="C924" s="100"/>
      <c r="D924" s="123"/>
      <c r="E924" s="122"/>
      <c r="F924" s="122"/>
      <c r="G924" s="124"/>
      <c r="H924" s="122"/>
      <c r="I924" s="82"/>
      <c r="J924" s="82"/>
      <c r="K924" s="82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2.75" customHeight="1" x14ac:dyDescent="0.25">
      <c r="A925" s="122"/>
      <c r="B925" s="122"/>
      <c r="C925" s="100"/>
      <c r="D925" s="123"/>
      <c r="E925" s="122"/>
      <c r="F925" s="122"/>
      <c r="G925" s="124"/>
      <c r="H925" s="122"/>
      <c r="I925" s="82"/>
      <c r="J925" s="82"/>
      <c r="K925" s="82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2.75" customHeight="1" x14ac:dyDescent="0.25">
      <c r="A926" s="122"/>
      <c r="B926" s="122"/>
      <c r="C926" s="100"/>
      <c r="D926" s="123"/>
      <c r="E926" s="122"/>
      <c r="F926" s="122"/>
      <c r="G926" s="124"/>
      <c r="H926" s="122"/>
      <c r="I926" s="82"/>
      <c r="J926" s="82"/>
      <c r="K926" s="82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2.75" customHeight="1" x14ac:dyDescent="0.25">
      <c r="A927" s="122"/>
      <c r="B927" s="122"/>
      <c r="C927" s="100"/>
      <c r="D927" s="123"/>
      <c r="E927" s="122"/>
      <c r="F927" s="122"/>
      <c r="G927" s="124"/>
      <c r="H927" s="122"/>
      <c r="I927" s="82"/>
      <c r="J927" s="82"/>
      <c r="K927" s="82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2.75" customHeight="1" x14ac:dyDescent="0.25">
      <c r="A928" s="122"/>
      <c r="B928" s="122"/>
      <c r="C928" s="100"/>
      <c r="D928" s="123"/>
      <c r="E928" s="122"/>
      <c r="F928" s="122"/>
      <c r="G928" s="124"/>
      <c r="H928" s="122"/>
      <c r="I928" s="82"/>
      <c r="J928" s="82"/>
      <c r="K928" s="82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2.75" customHeight="1" x14ac:dyDescent="0.25">
      <c r="A929" s="122"/>
      <c r="B929" s="122"/>
      <c r="C929" s="100"/>
      <c r="D929" s="123"/>
      <c r="E929" s="122"/>
      <c r="F929" s="122"/>
      <c r="G929" s="124"/>
      <c r="H929" s="122"/>
      <c r="I929" s="82"/>
      <c r="J929" s="82"/>
      <c r="K929" s="82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2.75" customHeight="1" x14ac:dyDescent="0.25">
      <c r="A930" s="122"/>
      <c r="B930" s="122"/>
      <c r="C930" s="100"/>
      <c r="D930" s="123"/>
      <c r="E930" s="122"/>
      <c r="F930" s="122"/>
      <c r="G930" s="124"/>
      <c r="H930" s="122"/>
      <c r="I930" s="82"/>
      <c r="J930" s="82"/>
      <c r="K930" s="82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2.75" customHeight="1" x14ac:dyDescent="0.25">
      <c r="A931" s="122"/>
      <c r="B931" s="122"/>
      <c r="C931" s="100"/>
      <c r="D931" s="123"/>
      <c r="E931" s="122"/>
      <c r="F931" s="122"/>
      <c r="G931" s="124"/>
      <c r="H931" s="122"/>
      <c r="I931" s="82"/>
      <c r="J931" s="82"/>
      <c r="K931" s="82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2.75" customHeight="1" x14ac:dyDescent="0.25">
      <c r="A932" s="122"/>
      <c r="B932" s="122"/>
      <c r="C932" s="100"/>
      <c r="D932" s="123"/>
      <c r="E932" s="122"/>
      <c r="F932" s="122"/>
      <c r="G932" s="124"/>
      <c r="H932" s="122"/>
      <c r="I932" s="82"/>
      <c r="J932" s="82"/>
      <c r="K932" s="82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2.75" customHeight="1" x14ac:dyDescent="0.25">
      <c r="A933" s="122"/>
      <c r="B933" s="122"/>
      <c r="C933" s="100"/>
      <c r="D933" s="123"/>
      <c r="E933" s="122"/>
      <c r="F933" s="122"/>
      <c r="G933" s="124"/>
      <c r="H933" s="122"/>
      <c r="I933" s="82"/>
      <c r="J933" s="82"/>
      <c r="K933" s="82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2.75" customHeight="1" x14ac:dyDescent="0.25">
      <c r="A934" s="122"/>
      <c r="B934" s="122"/>
      <c r="C934" s="100"/>
      <c r="D934" s="123"/>
      <c r="E934" s="122"/>
      <c r="F934" s="122"/>
      <c r="G934" s="124"/>
      <c r="H934" s="122"/>
      <c r="I934" s="82"/>
      <c r="J934" s="82"/>
      <c r="K934" s="82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2.75" customHeight="1" x14ac:dyDescent="0.25">
      <c r="A935" s="122"/>
      <c r="B935" s="122"/>
      <c r="C935" s="100"/>
      <c r="D935" s="123"/>
      <c r="E935" s="122"/>
      <c r="F935" s="122"/>
      <c r="G935" s="124"/>
      <c r="H935" s="122"/>
      <c r="I935" s="82"/>
      <c r="J935" s="82"/>
      <c r="K935" s="82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2.75" customHeight="1" x14ac:dyDescent="0.25">
      <c r="A936" s="122"/>
      <c r="B936" s="122"/>
      <c r="C936" s="100"/>
      <c r="D936" s="123"/>
      <c r="E936" s="122"/>
      <c r="F936" s="122"/>
      <c r="G936" s="124"/>
      <c r="H936" s="122"/>
      <c r="I936" s="82"/>
      <c r="J936" s="82"/>
      <c r="K936" s="82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2.75" customHeight="1" x14ac:dyDescent="0.25">
      <c r="A937" s="122"/>
      <c r="B937" s="122"/>
      <c r="C937" s="100"/>
      <c r="D937" s="123"/>
      <c r="E937" s="122"/>
      <c r="F937" s="122"/>
      <c r="G937" s="124"/>
      <c r="H937" s="122"/>
      <c r="I937" s="82"/>
      <c r="J937" s="82"/>
      <c r="K937" s="82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2.75" customHeight="1" x14ac:dyDescent="0.25">
      <c r="A938" s="122"/>
      <c r="B938" s="122"/>
      <c r="C938" s="100"/>
      <c r="D938" s="123"/>
      <c r="E938" s="122"/>
      <c r="F938" s="122"/>
      <c r="G938" s="124"/>
      <c r="H938" s="122"/>
      <c r="I938" s="82"/>
      <c r="J938" s="82"/>
      <c r="K938" s="82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2.75" customHeight="1" x14ac:dyDescent="0.25">
      <c r="A939" s="122"/>
      <c r="B939" s="122"/>
      <c r="C939" s="100"/>
      <c r="D939" s="123"/>
      <c r="E939" s="122"/>
      <c r="F939" s="122"/>
      <c r="G939" s="124"/>
      <c r="H939" s="122"/>
      <c r="I939" s="82"/>
      <c r="J939" s="82"/>
      <c r="K939" s="82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2.75" customHeight="1" x14ac:dyDescent="0.25">
      <c r="A940" s="122"/>
      <c r="B940" s="122"/>
      <c r="C940" s="100"/>
      <c r="D940" s="123"/>
      <c r="E940" s="122"/>
      <c r="F940" s="122"/>
      <c r="G940" s="124"/>
      <c r="H940" s="122"/>
      <c r="I940" s="82"/>
      <c r="J940" s="82"/>
      <c r="K940" s="82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2.75" customHeight="1" x14ac:dyDescent="0.25">
      <c r="A941" s="122"/>
      <c r="B941" s="122"/>
      <c r="C941" s="100"/>
      <c r="D941" s="123"/>
      <c r="E941" s="122"/>
      <c r="F941" s="122"/>
      <c r="G941" s="124"/>
      <c r="H941" s="122"/>
      <c r="I941" s="82"/>
      <c r="J941" s="82"/>
      <c r="K941" s="82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2.75" customHeight="1" x14ac:dyDescent="0.25">
      <c r="A942" s="122"/>
      <c r="B942" s="122"/>
      <c r="C942" s="100"/>
      <c r="D942" s="123"/>
      <c r="E942" s="122"/>
      <c r="F942" s="122"/>
      <c r="G942" s="124"/>
      <c r="H942" s="122"/>
      <c r="I942" s="82"/>
      <c r="J942" s="82"/>
      <c r="K942" s="82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2.75" customHeight="1" x14ac:dyDescent="0.25">
      <c r="A943" s="122"/>
      <c r="B943" s="122"/>
      <c r="C943" s="100"/>
      <c r="D943" s="123"/>
      <c r="E943" s="122"/>
      <c r="F943" s="122"/>
      <c r="G943" s="124"/>
      <c r="H943" s="122"/>
      <c r="I943" s="82"/>
      <c r="J943" s="82"/>
      <c r="K943" s="82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2.75" customHeight="1" x14ac:dyDescent="0.25">
      <c r="A944" s="122"/>
      <c r="B944" s="122"/>
      <c r="C944" s="100"/>
      <c r="D944" s="123"/>
      <c r="E944" s="122"/>
      <c r="F944" s="122"/>
      <c r="G944" s="124"/>
      <c r="H944" s="122"/>
      <c r="I944" s="82"/>
      <c r="J944" s="82"/>
      <c r="K944" s="82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2.75" customHeight="1" x14ac:dyDescent="0.25">
      <c r="A945" s="122"/>
      <c r="B945" s="122"/>
      <c r="C945" s="100"/>
      <c r="D945" s="123"/>
      <c r="E945" s="122"/>
      <c r="F945" s="122"/>
      <c r="G945" s="124"/>
      <c r="H945" s="122"/>
      <c r="I945" s="82"/>
      <c r="J945" s="82"/>
      <c r="K945" s="82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2.75" customHeight="1" x14ac:dyDescent="0.25">
      <c r="A946" s="122"/>
      <c r="B946" s="122"/>
      <c r="C946" s="100"/>
      <c r="D946" s="123"/>
      <c r="E946" s="122"/>
      <c r="F946" s="122"/>
      <c r="G946" s="124"/>
      <c r="H946" s="122"/>
      <c r="I946" s="82"/>
      <c r="J946" s="82"/>
      <c r="K946" s="82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2.75" customHeight="1" x14ac:dyDescent="0.25">
      <c r="A947" s="122"/>
      <c r="B947" s="122"/>
      <c r="C947" s="100"/>
      <c r="D947" s="123"/>
      <c r="E947" s="122"/>
      <c r="F947" s="122"/>
      <c r="G947" s="124"/>
      <c r="H947" s="122"/>
      <c r="I947" s="82"/>
      <c r="J947" s="82"/>
      <c r="K947" s="82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2.75" customHeight="1" x14ac:dyDescent="0.25">
      <c r="A948" s="122"/>
      <c r="B948" s="122"/>
      <c r="C948" s="100"/>
      <c r="D948" s="123"/>
      <c r="E948" s="122"/>
      <c r="F948" s="122"/>
      <c r="G948" s="124"/>
      <c r="H948" s="122"/>
      <c r="I948" s="82"/>
      <c r="J948" s="82"/>
      <c r="K948" s="82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2.75" customHeight="1" x14ac:dyDescent="0.25">
      <c r="A949" s="122"/>
      <c r="B949" s="122"/>
      <c r="C949" s="100"/>
      <c r="D949" s="123"/>
      <c r="E949" s="122"/>
      <c r="F949" s="122"/>
      <c r="G949" s="124"/>
      <c r="H949" s="122"/>
      <c r="I949" s="82"/>
      <c r="J949" s="82"/>
      <c r="K949" s="82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2.75" customHeight="1" x14ac:dyDescent="0.25">
      <c r="A950" s="122"/>
      <c r="B950" s="122"/>
      <c r="C950" s="100"/>
      <c r="D950" s="123"/>
      <c r="E950" s="122"/>
      <c r="F950" s="122"/>
      <c r="G950" s="124"/>
      <c r="H950" s="122"/>
      <c r="I950" s="82"/>
      <c r="J950" s="82"/>
      <c r="K950" s="82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2.75" customHeight="1" x14ac:dyDescent="0.25">
      <c r="A951" s="122"/>
      <c r="B951" s="122"/>
      <c r="C951" s="100"/>
      <c r="D951" s="123"/>
      <c r="E951" s="122"/>
      <c r="F951" s="122"/>
      <c r="G951" s="124"/>
      <c r="H951" s="122"/>
      <c r="I951" s="82"/>
      <c r="J951" s="82"/>
      <c r="K951" s="82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2.75" customHeight="1" x14ac:dyDescent="0.25">
      <c r="A952" s="122"/>
      <c r="B952" s="122"/>
      <c r="C952" s="100"/>
      <c r="D952" s="123"/>
      <c r="E952" s="122"/>
      <c r="F952" s="122"/>
      <c r="G952" s="124"/>
      <c r="H952" s="122"/>
      <c r="I952" s="82"/>
      <c r="J952" s="82"/>
      <c r="K952" s="82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2.75" customHeight="1" x14ac:dyDescent="0.25">
      <c r="A953" s="122"/>
      <c r="B953" s="122"/>
      <c r="C953" s="100"/>
      <c r="D953" s="123"/>
      <c r="E953" s="122"/>
      <c r="F953" s="122"/>
      <c r="G953" s="124"/>
      <c r="H953" s="122"/>
      <c r="I953" s="82"/>
      <c r="J953" s="82"/>
      <c r="K953" s="82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2.75" customHeight="1" x14ac:dyDescent="0.25">
      <c r="A954" s="122"/>
      <c r="B954" s="122"/>
      <c r="C954" s="100"/>
      <c r="D954" s="123"/>
      <c r="E954" s="122"/>
      <c r="F954" s="122"/>
      <c r="G954" s="124"/>
      <c r="H954" s="122"/>
      <c r="I954" s="82"/>
      <c r="J954" s="82"/>
      <c r="K954" s="82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2.75" customHeight="1" x14ac:dyDescent="0.25">
      <c r="A955" s="122"/>
      <c r="B955" s="122"/>
      <c r="C955" s="100"/>
      <c r="D955" s="123"/>
      <c r="E955" s="122"/>
      <c r="F955" s="122"/>
      <c r="G955" s="124"/>
      <c r="H955" s="122"/>
      <c r="I955" s="82"/>
      <c r="J955" s="82"/>
      <c r="K955" s="82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2.75" customHeight="1" x14ac:dyDescent="0.25">
      <c r="A956" s="122"/>
      <c r="B956" s="122"/>
      <c r="C956" s="100"/>
      <c r="D956" s="123"/>
      <c r="E956" s="122"/>
      <c r="F956" s="122"/>
      <c r="G956" s="124"/>
      <c r="H956" s="122"/>
      <c r="I956" s="82"/>
      <c r="J956" s="82"/>
      <c r="K956" s="82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2.75" customHeight="1" x14ac:dyDescent="0.25">
      <c r="A957" s="122"/>
      <c r="B957" s="122"/>
      <c r="C957" s="100"/>
      <c r="D957" s="123"/>
      <c r="E957" s="122"/>
      <c r="F957" s="122"/>
      <c r="G957" s="124"/>
      <c r="H957" s="122"/>
      <c r="I957" s="82"/>
      <c r="J957" s="82"/>
      <c r="K957" s="82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2.75" customHeight="1" x14ac:dyDescent="0.25">
      <c r="A958" s="122"/>
      <c r="B958" s="122"/>
      <c r="C958" s="100"/>
      <c r="D958" s="123"/>
      <c r="E958" s="122"/>
      <c r="F958" s="122"/>
      <c r="G958" s="124"/>
      <c r="H958" s="122"/>
      <c r="I958" s="82"/>
      <c r="J958" s="82"/>
      <c r="K958" s="82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2.75" customHeight="1" x14ac:dyDescent="0.25">
      <c r="A959" s="122"/>
      <c r="B959" s="122"/>
      <c r="C959" s="100"/>
      <c r="D959" s="123"/>
      <c r="E959" s="122"/>
      <c r="F959" s="122"/>
      <c r="G959" s="124"/>
      <c r="H959" s="122"/>
      <c r="I959" s="82"/>
      <c r="J959" s="82"/>
      <c r="K959" s="82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2.75" customHeight="1" x14ac:dyDescent="0.25">
      <c r="A960" s="122"/>
      <c r="B960" s="122"/>
      <c r="C960" s="100"/>
      <c r="D960" s="123"/>
      <c r="E960" s="122"/>
      <c r="F960" s="122"/>
      <c r="G960" s="124"/>
      <c r="H960" s="122"/>
      <c r="I960" s="82"/>
      <c r="J960" s="82"/>
      <c r="K960" s="82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2.75" customHeight="1" x14ac:dyDescent="0.25">
      <c r="A961" s="122"/>
      <c r="B961" s="122"/>
      <c r="C961" s="100"/>
      <c r="D961" s="123"/>
      <c r="E961" s="122"/>
      <c r="F961" s="122"/>
      <c r="G961" s="124"/>
      <c r="H961" s="122"/>
      <c r="I961" s="82"/>
      <c r="J961" s="82"/>
      <c r="K961" s="82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2.75" customHeight="1" x14ac:dyDescent="0.25">
      <c r="A962" s="122"/>
      <c r="B962" s="122"/>
      <c r="C962" s="100"/>
      <c r="D962" s="123"/>
      <c r="E962" s="122"/>
      <c r="F962" s="122"/>
      <c r="G962" s="124"/>
      <c r="H962" s="122"/>
      <c r="I962" s="82"/>
      <c r="J962" s="82"/>
      <c r="K962" s="82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2.75" customHeight="1" x14ac:dyDescent="0.25">
      <c r="A963" s="122"/>
      <c r="B963" s="122"/>
      <c r="C963" s="100"/>
      <c r="D963" s="123"/>
      <c r="E963" s="122"/>
      <c r="F963" s="122"/>
      <c r="G963" s="124"/>
      <c r="H963" s="122"/>
      <c r="I963" s="82"/>
      <c r="J963" s="82"/>
      <c r="K963" s="82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2.75" customHeight="1" x14ac:dyDescent="0.25">
      <c r="A964" s="122"/>
      <c r="B964" s="122"/>
      <c r="C964" s="100"/>
      <c r="D964" s="123"/>
      <c r="E964" s="122"/>
      <c r="F964" s="122"/>
      <c r="G964" s="124"/>
      <c r="H964" s="122"/>
      <c r="I964" s="82"/>
      <c r="J964" s="82"/>
      <c r="K964" s="82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2.75" customHeight="1" x14ac:dyDescent="0.25">
      <c r="A965" s="122"/>
      <c r="B965" s="122"/>
      <c r="C965" s="100"/>
      <c r="D965" s="123"/>
      <c r="E965" s="122"/>
      <c r="F965" s="122"/>
      <c r="G965" s="124"/>
      <c r="H965" s="122"/>
      <c r="I965" s="82"/>
      <c r="J965" s="82"/>
      <c r="K965" s="82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2.75" customHeight="1" x14ac:dyDescent="0.25">
      <c r="A966" s="122"/>
      <c r="B966" s="122"/>
      <c r="C966" s="100"/>
      <c r="D966" s="123"/>
      <c r="E966" s="122"/>
      <c r="F966" s="122"/>
      <c r="G966" s="124"/>
      <c r="H966" s="122"/>
      <c r="I966" s="82"/>
      <c r="J966" s="82"/>
      <c r="K966" s="82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2.75" customHeight="1" x14ac:dyDescent="0.25">
      <c r="A967" s="122"/>
      <c r="B967" s="122"/>
      <c r="C967" s="100"/>
      <c r="D967" s="123"/>
      <c r="E967" s="122"/>
      <c r="F967" s="122"/>
      <c r="G967" s="124"/>
      <c r="H967" s="122"/>
      <c r="I967" s="82"/>
      <c r="J967" s="82"/>
      <c r="K967" s="82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2.75" customHeight="1" x14ac:dyDescent="0.25">
      <c r="A968" s="122"/>
      <c r="B968" s="122"/>
      <c r="C968" s="100"/>
      <c r="D968" s="123"/>
      <c r="E968" s="122"/>
      <c r="F968" s="122"/>
      <c r="G968" s="124"/>
      <c r="H968" s="122"/>
      <c r="I968" s="82"/>
      <c r="J968" s="82"/>
      <c r="K968" s="82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2.75" customHeight="1" x14ac:dyDescent="0.25">
      <c r="A969" s="122"/>
      <c r="B969" s="122"/>
      <c r="C969" s="100"/>
      <c r="D969" s="123"/>
      <c r="E969" s="122"/>
      <c r="F969" s="122"/>
      <c r="G969" s="124"/>
      <c r="H969" s="122"/>
      <c r="I969" s="82"/>
      <c r="J969" s="82"/>
      <c r="K969" s="82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2.75" customHeight="1" x14ac:dyDescent="0.25">
      <c r="A970" s="122"/>
      <c r="B970" s="122"/>
      <c r="C970" s="100"/>
      <c r="D970" s="123"/>
      <c r="E970" s="122"/>
      <c r="F970" s="122"/>
      <c r="G970" s="124"/>
      <c r="H970" s="122"/>
      <c r="I970" s="82"/>
      <c r="J970" s="82"/>
      <c r="K970" s="82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2.75" customHeight="1" x14ac:dyDescent="0.25">
      <c r="A971" s="122"/>
      <c r="B971" s="122"/>
      <c r="C971" s="100"/>
      <c r="D971" s="123"/>
      <c r="E971" s="122"/>
      <c r="F971" s="122"/>
      <c r="G971" s="124"/>
      <c r="H971" s="122"/>
      <c r="I971" s="82"/>
      <c r="J971" s="82"/>
      <c r="K971" s="82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2.75" customHeight="1" x14ac:dyDescent="0.25">
      <c r="A972" s="122"/>
      <c r="B972" s="122"/>
      <c r="C972" s="100"/>
      <c r="D972" s="123"/>
      <c r="E972" s="122"/>
      <c r="F972" s="122"/>
      <c r="G972" s="124"/>
      <c r="H972" s="122"/>
      <c r="I972" s="82"/>
      <c r="J972" s="82"/>
      <c r="K972" s="82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2.75" customHeight="1" x14ac:dyDescent="0.25">
      <c r="A973" s="122"/>
      <c r="B973" s="122"/>
      <c r="C973" s="100"/>
      <c r="D973" s="123"/>
      <c r="E973" s="122"/>
      <c r="F973" s="122"/>
      <c r="G973" s="124"/>
      <c r="H973" s="122"/>
      <c r="I973" s="82"/>
      <c r="J973" s="82"/>
      <c r="K973" s="82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2.75" customHeight="1" x14ac:dyDescent="0.25">
      <c r="A974" s="122"/>
      <c r="B974" s="122"/>
      <c r="C974" s="100"/>
      <c r="D974" s="123"/>
      <c r="E974" s="122"/>
      <c r="F974" s="122"/>
      <c r="G974" s="124"/>
      <c r="H974" s="122"/>
      <c r="I974" s="82"/>
      <c r="J974" s="82"/>
      <c r="K974" s="82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2.75" customHeight="1" x14ac:dyDescent="0.25">
      <c r="A975" s="122"/>
      <c r="B975" s="122"/>
      <c r="C975" s="100"/>
      <c r="D975" s="123"/>
      <c r="E975" s="122"/>
      <c r="F975" s="122"/>
      <c r="G975" s="124"/>
      <c r="H975" s="122"/>
      <c r="I975" s="82"/>
      <c r="J975" s="82"/>
      <c r="K975" s="82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2.75" customHeight="1" x14ac:dyDescent="0.25">
      <c r="A976" s="122"/>
      <c r="B976" s="122"/>
      <c r="C976" s="100"/>
      <c r="D976" s="123"/>
      <c r="E976" s="122"/>
      <c r="F976" s="122"/>
      <c r="G976" s="124"/>
      <c r="H976" s="122"/>
      <c r="I976" s="82"/>
      <c r="J976" s="82"/>
      <c r="K976" s="82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2.75" customHeight="1" x14ac:dyDescent="0.25">
      <c r="A977" s="122"/>
      <c r="B977" s="122"/>
      <c r="C977" s="100"/>
      <c r="D977" s="123"/>
      <c r="E977" s="122"/>
      <c r="F977" s="122"/>
      <c r="G977" s="124"/>
      <c r="H977" s="122"/>
      <c r="I977" s="82"/>
      <c r="J977" s="82"/>
      <c r="K977" s="82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2.75" customHeight="1" x14ac:dyDescent="0.25">
      <c r="A978" s="122"/>
      <c r="B978" s="122"/>
      <c r="C978" s="100"/>
      <c r="D978" s="123"/>
      <c r="E978" s="122"/>
      <c r="F978" s="122"/>
      <c r="G978" s="124"/>
      <c r="H978" s="122"/>
      <c r="I978" s="82"/>
      <c r="J978" s="82"/>
      <c r="K978" s="82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2.75" customHeight="1" x14ac:dyDescent="0.25">
      <c r="A979" s="122"/>
      <c r="B979" s="122"/>
      <c r="C979" s="100"/>
      <c r="D979" s="123"/>
      <c r="E979" s="122"/>
      <c r="F979" s="122"/>
      <c r="G979" s="124"/>
      <c r="H979" s="122"/>
      <c r="I979" s="82"/>
      <c r="J979" s="82"/>
      <c r="K979" s="82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2.75" customHeight="1" x14ac:dyDescent="0.25">
      <c r="A980" s="122"/>
      <c r="B980" s="122"/>
      <c r="C980" s="100"/>
      <c r="D980" s="123"/>
      <c r="E980" s="122"/>
      <c r="F980" s="122"/>
      <c r="G980" s="124"/>
      <c r="H980" s="122"/>
      <c r="I980" s="82"/>
      <c r="J980" s="82"/>
      <c r="K980" s="82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2.75" customHeight="1" x14ac:dyDescent="0.25">
      <c r="A981" s="122"/>
      <c r="B981" s="122"/>
      <c r="C981" s="100"/>
      <c r="D981" s="123"/>
      <c r="E981" s="122"/>
      <c r="F981" s="122"/>
      <c r="G981" s="124"/>
      <c r="H981" s="122"/>
      <c r="I981" s="82"/>
      <c r="J981" s="82"/>
      <c r="K981" s="82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2.75" customHeight="1" x14ac:dyDescent="0.25">
      <c r="A982" s="122"/>
      <c r="B982" s="122"/>
      <c r="C982" s="100"/>
      <c r="D982" s="123"/>
      <c r="E982" s="122"/>
      <c r="F982" s="122"/>
      <c r="G982" s="124"/>
      <c r="H982" s="122"/>
      <c r="I982" s="82"/>
      <c r="J982" s="82"/>
      <c r="K982" s="82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2.75" customHeight="1" x14ac:dyDescent="0.25">
      <c r="A983" s="122"/>
      <c r="B983" s="122"/>
      <c r="C983" s="100"/>
      <c r="D983" s="123"/>
      <c r="E983" s="122"/>
      <c r="F983" s="122"/>
      <c r="G983" s="124"/>
      <c r="H983" s="122"/>
      <c r="I983" s="82"/>
      <c r="J983" s="82"/>
      <c r="K983" s="82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2.75" customHeight="1" x14ac:dyDescent="0.25">
      <c r="A984" s="122"/>
      <c r="B984" s="122"/>
      <c r="C984" s="100"/>
      <c r="D984" s="123"/>
      <c r="E984" s="122"/>
      <c r="F984" s="122"/>
      <c r="G984" s="124"/>
      <c r="H984" s="122"/>
      <c r="I984" s="82"/>
      <c r="J984" s="82"/>
      <c r="K984" s="82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2.75" customHeight="1" x14ac:dyDescent="0.25">
      <c r="A985" s="122"/>
      <c r="B985" s="122"/>
      <c r="C985" s="100"/>
      <c r="D985" s="123"/>
      <c r="E985" s="122"/>
      <c r="F985" s="122"/>
      <c r="G985" s="124"/>
      <c r="H985" s="122"/>
      <c r="I985" s="82"/>
      <c r="J985" s="82"/>
      <c r="K985" s="82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2.75" customHeight="1" x14ac:dyDescent="0.25">
      <c r="A986" s="122"/>
      <c r="B986" s="122"/>
      <c r="C986" s="100"/>
      <c r="D986" s="123"/>
      <c r="E986" s="122"/>
      <c r="F986" s="122"/>
      <c r="G986" s="124"/>
      <c r="H986" s="122"/>
      <c r="I986" s="82"/>
      <c r="J986" s="82"/>
      <c r="K986" s="82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2.75" customHeight="1" x14ac:dyDescent="0.25">
      <c r="A987" s="122"/>
      <c r="B987" s="122"/>
      <c r="C987" s="100"/>
      <c r="D987" s="123"/>
      <c r="E987" s="122"/>
      <c r="F987" s="122"/>
      <c r="G987" s="124"/>
      <c r="H987" s="122"/>
      <c r="I987" s="82"/>
      <c r="J987" s="82"/>
      <c r="K987" s="82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2.75" customHeight="1" x14ac:dyDescent="0.25">
      <c r="A988" s="122"/>
      <c r="B988" s="122"/>
      <c r="C988" s="100"/>
      <c r="D988" s="123"/>
      <c r="E988" s="122"/>
      <c r="F988" s="122"/>
      <c r="G988" s="124"/>
      <c r="H988" s="122"/>
      <c r="I988" s="82"/>
      <c r="J988" s="82"/>
      <c r="K988" s="82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2.75" customHeight="1" x14ac:dyDescent="0.25">
      <c r="A989" s="122"/>
      <c r="B989" s="122"/>
      <c r="C989" s="100"/>
      <c r="D989" s="123"/>
      <c r="E989" s="122"/>
      <c r="F989" s="122"/>
      <c r="G989" s="124"/>
      <c r="H989" s="122"/>
      <c r="I989" s="82"/>
      <c r="J989" s="82"/>
      <c r="K989" s="82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2.75" customHeight="1" x14ac:dyDescent="0.25">
      <c r="A990" s="122"/>
      <c r="B990" s="122"/>
      <c r="C990" s="100"/>
      <c r="D990" s="123"/>
      <c r="E990" s="122"/>
      <c r="F990" s="122"/>
      <c r="G990" s="124"/>
      <c r="H990" s="122"/>
      <c r="I990" s="82"/>
      <c r="J990" s="82"/>
      <c r="K990" s="82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2.75" customHeight="1" x14ac:dyDescent="0.25">
      <c r="A991" s="122"/>
      <c r="B991" s="122"/>
      <c r="C991" s="100"/>
      <c r="D991" s="123"/>
      <c r="E991" s="122"/>
      <c r="F991" s="122"/>
      <c r="G991" s="124"/>
      <c r="H991" s="122"/>
      <c r="I991" s="82"/>
      <c r="J991" s="82"/>
      <c r="K991" s="82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2.75" customHeight="1" x14ac:dyDescent="0.25">
      <c r="A992" s="122"/>
      <c r="B992" s="122"/>
      <c r="C992" s="100"/>
      <c r="D992" s="123"/>
      <c r="E992" s="122"/>
      <c r="F992" s="122"/>
      <c r="G992" s="124"/>
      <c r="H992" s="122"/>
      <c r="I992" s="82"/>
      <c r="J992" s="82"/>
      <c r="K992" s="82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2.75" customHeight="1" x14ac:dyDescent="0.25">
      <c r="A993" s="122"/>
      <c r="B993" s="122"/>
      <c r="C993" s="100"/>
      <c r="D993" s="123"/>
      <c r="E993" s="122"/>
      <c r="F993" s="122"/>
      <c r="G993" s="124"/>
      <c r="H993" s="122"/>
      <c r="I993" s="82"/>
      <c r="J993" s="82"/>
      <c r="K993" s="82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2.75" customHeight="1" x14ac:dyDescent="0.25">
      <c r="A994" s="122"/>
      <c r="B994" s="122"/>
      <c r="C994" s="100"/>
      <c r="D994" s="123"/>
      <c r="E994" s="122"/>
      <c r="F994" s="122"/>
      <c r="G994" s="124"/>
      <c r="H994" s="122"/>
      <c r="I994" s="82"/>
      <c r="J994" s="82"/>
      <c r="K994" s="82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2.75" customHeight="1" x14ac:dyDescent="0.25">
      <c r="A995" s="122"/>
      <c r="B995" s="122"/>
      <c r="C995" s="100"/>
      <c r="D995" s="123"/>
      <c r="E995" s="122"/>
      <c r="F995" s="122"/>
      <c r="G995" s="124"/>
      <c r="H995" s="122"/>
      <c r="I995" s="82"/>
      <c r="J995" s="82"/>
      <c r="K995" s="82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2.75" customHeight="1" x14ac:dyDescent="0.25">
      <c r="A996" s="122"/>
      <c r="B996" s="122"/>
      <c r="C996" s="100"/>
      <c r="D996" s="123"/>
      <c r="E996" s="122"/>
      <c r="F996" s="122"/>
      <c r="G996" s="124"/>
      <c r="H996" s="122"/>
      <c r="I996" s="82"/>
      <c r="J996" s="82"/>
      <c r="K996" s="82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2.75" customHeight="1" x14ac:dyDescent="0.25">
      <c r="A997" s="122"/>
      <c r="B997" s="122"/>
      <c r="C997" s="100"/>
      <c r="D997" s="123"/>
      <c r="E997" s="122"/>
      <c r="F997" s="122"/>
      <c r="G997" s="124"/>
      <c r="H997" s="122"/>
      <c r="I997" s="82"/>
      <c r="J997" s="82"/>
      <c r="K997" s="82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2.75" customHeight="1" x14ac:dyDescent="0.25">
      <c r="A998" s="122"/>
      <c r="B998" s="122"/>
      <c r="C998" s="100"/>
      <c r="D998" s="123"/>
      <c r="E998" s="122"/>
      <c r="F998" s="122"/>
      <c r="G998" s="124"/>
      <c r="H998" s="122"/>
      <c r="I998" s="82"/>
      <c r="J998" s="82"/>
      <c r="K998" s="82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2.75" customHeight="1" x14ac:dyDescent="0.25">
      <c r="A999" s="122"/>
      <c r="B999" s="122"/>
      <c r="C999" s="100"/>
      <c r="D999" s="123"/>
      <c r="E999" s="122"/>
      <c r="F999" s="122"/>
      <c r="G999" s="124"/>
      <c r="H999" s="122"/>
      <c r="I999" s="82"/>
      <c r="J999" s="82"/>
      <c r="K999" s="82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2.75" customHeight="1" x14ac:dyDescent="0.25">
      <c r="A1000" s="122"/>
      <c r="B1000" s="122"/>
      <c r="C1000" s="100"/>
      <c r="D1000" s="123"/>
      <c r="E1000" s="122"/>
      <c r="F1000" s="122"/>
      <c r="G1000" s="124"/>
      <c r="H1000" s="122"/>
      <c r="I1000" s="82"/>
      <c r="J1000" s="82"/>
      <c r="K1000" s="82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2.75" customHeight="1" x14ac:dyDescent="0.25">
      <c r="A1001" s="122"/>
      <c r="B1001" s="122"/>
      <c r="C1001" s="100"/>
      <c r="D1001" s="123"/>
      <c r="E1001" s="122"/>
      <c r="F1001" s="122"/>
      <c r="G1001" s="124"/>
      <c r="H1001" s="122"/>
      <c r="I1001" s="82"/>
      <c r="J1001" s="82"/>
      <c r="K1001" s="82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2.75" customHeight="1" x14ac:dyDescent="0.25">
      <c r="A1002" s="122"/>
      <c r="B1002" s="122"/>
      <c r="C1002" s="100"/>
      <c r="D1002" s="123"/>
      <c r="E1002" s="122"/>
      <c r="F1002" s="122"/>
      <c r="G1002" s="124"/>
      <c r="H1002" s="122"/>
      <c r="I1002" s="82"/>
      <c r="J1002" s="82"/>
      <c r="K1002" s="82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2.75" customHeight="1" x14ac:dyDescent="0.25">
      <c r="A1003" s="122"/>
      <c r="B1003" s="122"/>
      <c r="C1003" s="100"/>
      <c r="D1003" s="123"/>
      <c r="E1003" s="122"/>
      <c r="F1003" s="122"/>
      <c r="G1003" s="124"/>
      <c r="H1003" s="122"/>
      <c r="I1003" s="82"/>
      <c r="J1003" s="82"/>
      <c r="K1003" s="82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2.75" customHeight="1" x14ac:dyDescent="0.25">
      <c r="A1004" s="122"/>
      <c r="B1004" s="122"/>
      <c r="C1004" s="100"/>
      <c r="D1004" s="123"/>
      <c r="E1004" s="122"/>
      <c r="F1004" s="122"/>
      <c r="G1004" s="124"/>
      <c r="H1004" s="122"/>
      <c r="I1004" s="82"/>
      <c r="J1004" s="82"/>
      <c r="K1004" s="82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2.75" customHeight="1" x14ac:dyDescent="0.25">
      <c r="A1005" s="122"/>
      <c r="B1005" s="122"/>
      <c r="C1005" s="100"/>
      <c r="D1005" s="123"/>
      <c r="E1005" s="122"/>
      <c r="F1005" s="122"/>
      <c r="G1005" s="124"/>
      <c r="H1005" s="122"/>
      <c r="I1005" s="82"/>
      <c r="J1005" s="82"/>
      <c r="K1005" s="82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2.75" customHeight="1" x14ac:dyDescent="0.25">
      <c r="A1006" s="122"/>
      <c r="B1006" s="122"/>
      <c r="C1006" s="100"/>
      <c r="D1006" s="123"/>
      <c r="E1006" s="122"/>
      <c r="F1006" s="122"/>
      <c r="G1006" s="124"/>
      <c r="H1006" s="122"/>
      <c r="I1006" s="82"/>
      <c r="J1006" s="82"/>
      <c r="K1006" s="82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2.75" customHeight="1" x14ac:dyDescent="0.25">
      <c r="A1007" s="122"/>
      <c r="B1007" s="122"/>
      <c r="C1007" s="100"/>
      <c r="D1007" s="123"/>
      <c r="E1007" s="122"/>
      <c r="F1007" s="122"/>
      <c r="G1007" s="124"/>
      <c r="H1007" s="122"/>
      <c r="I1007" s="82"/>
      <c r="J1007" s="82"/>
      <c r="K1007" s="82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2.75" customHeight="1" x14ac:dyDescent="0.25">
      <c r="A1008" s="122"/>
      <c r="B1008" s="122"/>
      <c r="C1008" s="100"/>
      <c r="D1008" s="123"/>
      <c r="E1008" s="122"/>
      <c r="F1008" s="122"/>
      <c r="G1008" s="124"/>
      <c r="H1008" s="122"/>
      <c r="I1008" s="82"/>
      <c r="J1008" s="82"/>
      <c r="K1008" s="82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2.75" customHeight="1" x14ac:dyDescent="0.25">
      <c r="A1009" s="122"/>
      <c r="B1009" s="122"/>
      <c r="C1009" s="100"/>
      <c r="D1009" s="123"/>
      <c r="E1009" s="122"/>
      <c r="F1009" s="122"/>
      <c r="G1009" s="124"/>
      <c r="H1009" s="122"/>
      <c r="I1009" s="82"/>
      <c r="J1009" s="82"/>
      <c r="K1009" s="82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2.75" customHeight="1" x14ac:dyDescent="0.25">
      <c r="A1010" s="122"/>
      <c r="B1010" s="122"/>
      <c r="C1010" s="100"/>
      <c r="D1010" s="123"/>
      <c r="E1010" s="122"/>
      <c r="F1010" s="122"/>
      <c r="G1010" s="124"/>
      <c r="H1010" s="122"/>
      <c r="I1010" s="82"/>
      <c r="J1010" s="82"/>
      <c r="K1010" s="82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2.75" customHeight="1" x14ac:dyDescent="0.25">
      <c r="A1011" s="122"/>
      <c r="B1011" s="122"/>
      <c r="C1011" s="100"/>
      <c r="D1011" s="123"/>
      <c r="E1011" s="122"/>
      <c r="F1011" s="122"/>
      <c r="G1011" s="124"/>
      <c r="H1011" s="122"/>
      <c r="I1011" s="82"/>
      <c r="J1011" s="82"/>
      <c r="K1011" s="82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2.75" customHeight="1" x14ac:dyDescent="0.25">
      <c r="A1012" s="122"/>
      <c r="B1012" s="122"/>
      <c r="C1012" s="100"/>
      <c r="D1012" s="123"/>
      <c r="E1012" s="122"/>
      <c r="F1012" s="122"/>
      <c r="G1012" s="124"/>
      <c r="H1012" s="122"/>
      <c r="I1012" s="82"/>
      <c r="J1012" s="82"/>
      <c r="K1012" s="82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2.75" customHeight="1" x14ac:dyDescent="0.25">
      <c r="A1013" s="122"/>
      <c r="B1013" s="122"/>
      <c r="C1013" s="100"/>
      <c r="D1013" s="123"/>
      <c r="E1013" s="122"/>
      <c r="F1013" s="122"/>
      <c r="G1013" s="124"/>
      <c r="H1013" s="122"/>
      <c r="I1013" s="82"/>
      <c r="J1013" s="82"/>
      <c r="K1013" s="82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2.75" customHeight="1" x14ac:dyDescent="0.25">
      <c r="A1014" s="122"/>
      <c r="B1014" s="122"/>
      <c r="C1014" s="100"/>
      <c r="D1014" s="123"/>
      <c r="E1014" s="122"/>
      <c r="F1014" s="122"/>
      <c r="G1014" s="124"/>
      <c r="H1014" s="122"/>
      <c r="I1014" s="82"/>
      <c r="J1014" s="82"/>
      <c r="K1014" s="82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2.75" customHeight="1" x14ac:dyDescent="0.25">
      <c r="A1015" s="122"/>
      <c r="B1015" s="122"/>
      <c r="C1015" s="100"/>
      <c r="D1015" s="123"/>
      <c r="E1015" s="122"/>
      <c r="F1015" s="122"/>
      <c r="G1015" s="124"/>
      <c r="H1015" s="122"/>
      <c r="I1015" s="82"/>
      <c r="J1015" s="82"/>
      <c r="K1015" s="82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2.75" customHeight="1" x14ac:dyDescent="0.25">
      <c r="A1016" s="122"/>
      <c r="B1016" s="122"/>
      <c r="C1016" s="100"/>
      <c r="D1016" s="123"/>
      <c r="E1016" s="122"/>
      <c r="F1016" s="122"/>
      <c r="G1016" s="124"/>
      <c r="H1016" s="122"/>
      <c r="I1016" s="82"/>
      <c r="J1016" s="82"/>
      <c r="K1016" s="82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2.75" customHeight="1" x14ac:dyDescent="0.25">
      <c r="A1017" s="122"/>
      <c r="B1017" s="122"/>
      <c r="C1017" s="100"/>
      <c r="D1017" s="123"/>
      <c r="E1017" s="122"/>
      <c r="F1017" s="122"/>
      <c r="G1017" s="124"/>
      <c r="H1017" s="122"/>
      <c r="I1017" s="82"/>
      <c r="J1017" s="82"/>
      <c r="K1017" s="82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2.75" customHeight="1" x14ac:dyDescent="0.25">
      <c r="A1018" s="122"/>
      <c r="B1018" s="122"/>
      <c r="C1018" s="100"/>
      <c r="D1018" s="123"/>
      <c r="E1018" s="122"/>
      <c r="F1018" s="122"/>
      <c r="G1018" s="124"/>
      <c r="H1018" s="122"/>
      <c r="I1018" s="82"/>
      <c r="J1018" s="82"/>
      <c r="K1018" s="82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2.75" customHeight="1" x14ac:dyDescent="0.25">
      <c r="A1019" s="122"/>
      <c r="B1019" s="122"/>
      <c r="C1019" s="100"/>
      <c r="D1019" s="123"/>
      <c r="E1019" s="122"/>
      <c r="F1019" s="122"/>
      <c r="G1019" s="124"/>
      <c r="H1019" s="122"/>
      <c r="I1019" s="82"/>
      <c r="J1019" s="82"/>
      <c r="K1019" s="82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2.75" customHeight="1" x14ac:dyDescent="0.25">
      <c r="A1020" s="122"/>
      <c r="B1020" s="122"/>
      <c r="C1020" s="100"/>
      <c r="D1020" s="123"/>
      <c r="E1020" s="122"/>
      <c r="F1020" s="122"/>
      <c r="G1020" s="124"/>
      <c r="H1020" s="122"/>
      <c r="I1020" s="82"/>
      <c r="J1020" s="82"/>
      <c r="K1020" s="82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2.75" customHeight="1" x14ac:dyDescent="0.25">
      <c r="A1021" s="122"/>
      <c r="B1021" s="122"/>
      <c r="C1021" s="100"/>
      <c r="D1021" s="123"/>
      <c r="E1021" s="122"/>
      <c r="F1021" s="122"/>
      <c r="G1021" s="124"/>
      <c r="H1021" s="122"/>
      <c r="I1021" s="82"/>
      <c r="J1021" s="82"/>
      <c r="K1021" s="82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2.75" customHeight="1" x14ac:dyDescent="0.25">
      <c r="A1022" s="122"/>
      <c r="B1022" s="122"/>
      <c r="C1022" s="100"/>
      <c r="D1022" s="123"/>
      <c r="E1022" s="122"/>
      <c r="F1022" s="122"/>
      <c r="G1022" s="124"/>
      <c r="H1022" s="122"/>
      <c r="I1022" s="82"/>
      <c r="J1022" s="82"/>
      <c r="K1022" s="82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2.75" customHeight="1" x14ac:dyDescent="0.25">
      <c r="A1023" s="122"/>
      <c r="B1023" s="122"/>
      <c r="C1023" s="100"/>
      <c r="D1023" s="123"/>
      <c r="E1023" s="122"/>
      <c r="F1023" s="122"/>
      <c r="G1023" s="124"/>
      <c r="H1023" s="122"/>
      <c r="I1023" s="82"/>
      <c r="J1023" s="82"/>
      <c r="K1023" s="82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2.75" customHeight="1" x14ac:dyDescent="0.25">
      <c r="A1024" s="122"/>
      <c r="B1024" s="122"/>
      <c r="C1024" s="100"/>
      <c r="D1024" s="123"/>
      <c r="E1024" s="122"/>
      <c r="F1024" s="122"/>
      <c r="G1024" s="124"/>
      <c r="H1024" s="122"/>
      <c r="I1024" s="82"/>
      <c r="J1024" s="82"/>
      <c r="K1024" s="82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2.75" customHeight="1" x14ac:dyDescent="0.25">
      <c r="A1025" s="122"/>
      <c r="B1025" s="122"/>
      <c r="C1025" s="100"/>
      <c r="D1025" s="123"/>
      <c r="E1025" s="122"/>
      <c r="F1025" s="122"/>
      <c r="G1025" s="124"/>
      <c r="H1025" s="122"/>
      <c r="I1025" s="82"/>
      <c r="J1025" s="82"/>
      <c r="K1025" s="82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2.75" customHeight="1" x14ac:dyDescent="0.25">
      <c r="A1026" s="122"/>
      <c r="B1026" s="122"/>
      <c r="C1026" s="100"/>
      <c r="D1026" s="123"/>
      <c r="E1026" s="122"/>
      <c r="F1026" s="122"/>
      <c r="G1026" s="124"/>
      <c r="H1026" s="122"/>
      <c r="I1026" s="82"/>
      <c r="J1026" s="82"/>
      <c r="K1026" s="82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2.75" customHeight="1" x14ac:dyDescent="0.25">
      <c r="A1027" s="122"/>
      <c r="B1027" s="122"/>
      <c r="C1027" s="100"/>
      <c r="D1027" s="123"/>
      <c r="E1027" s="122"/>
      <c r="F1027" s="122"/>
      <c r="G1027" s="124"/>
      <c r="H1027" s="122"/>
      <c r="I1027" s="82"/>
      <c r="J1027" s="82"/>
      <c r="K1027" s="82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2.75" customHeight="1" x14ac:dyDescent="0.25">
      <c r="A1028" s="122"/>
      <c r="B1028" s="122"/>
      <c r="C1028" s="100"/>
      <c r="D1028" s="123"/>
      <c r="E1028" s="122"/>
      <c r="F1028" s="122"/>
      <c r="G1028" s="124"/>
      <c r="H1028" s="122"/>
      <c r="I1028" s="82"/>
      <c r="J1028" s="82"/>
      <c r="K1028" s="82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2.75" customHeight="1" x14ac:dyDescent="0.25">
      <c r="A1029" s="122"/>
      <c r="B1029" s="122"/>
      <c r="C1029" s="100"/>
      <c r="D1029" s="123"/>
      <c r="E1029" s="122"/>
      <c r="F1029" s="122"/>
      <c r="G1029" s="124"/>
      <c r="H1029" s="122"/>
      <c r="I1029" s="82"/>
      <c r="J1029" s="82"/>
      <c r="K1029" s="82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2.75" customHeight="1" x14ac:dyDescent="0.25">
      <c r="A1030" s="122"/>
      <c r="B1030" s="122"/>
      <c r="C1030" s="100"/>
      <c r="D1030" s="123"/>
      <c r="E1030" s="122"/>
      <c r="F1030" s="122"/>
      <c r="G1030" s="124"/>
      <c r="H1030" s="122"/>
      <c r="I1030" s="82"/>
      <c r="J1030" s="82"/>
      <c r="K1030" s="82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2.75" customHeight="1" x14ac:dyDescent="0.25">
      <c r="A1031" s="122"/>
      <c r="B1031" s="122"/>
      <c r="C1031" s="100"/>
      <c r="D1031" s="123"/>
      <c r="E1031" s="122"/>
      <c r="F1031" s="122"/>
      <c r="G1031" s="124"/>
      <c r="H1031" s="122"/>
      <c r="I1031" s="82"/>
      <c r="J1031" s="82"/>
      <c r="K1031" s="82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2.75" customHeight="1" x14ac:dyDescent="0.25">
      <c r="A1032" s="122"/>
      <c r="B1032" s="122"/>
      <c r="C1032" s="100"/>
      <c r="D1032" s="123"/>
      <c r="E1032" s="122"/>
      <c r="F1032" s="122"/>
      <c r="G1032" s="124"/>
      <c r="H1032" s="122"/>
      <c r="I1032" s="82"/>
      <c r="J1032" s="82"/>
      <c r="K1032" s="82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2.75" customHeight="1" x14ac:dyDescent="0.25">
      <c r="A1033" s="122"/>
      <c r="B1033" s="122"/>
      <c r="C1033" s="100"/>
      <c r="D1033" s="123"/>
      <c r="E1033" s="122"/>
      <c r="F1033" s="122"/>
      <c r="G1033" s="124"/>
      <c r="H1033" s="122"/>
      <c r="I1033" s="82"/>
      <c r="J1033" s="82"/>
      <c r="K1033" s="82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2.75" customHeight="1" x14ac:dyDescent="0.25">
      <c r="A1034" s="122"/>
      <c r="B1034" s="122"/>
      <c r="C1034" s="100"/>
      <c r="D1034" s="123"/>
      <c r="E1034" s="122"/>
      <c r="F1034" s="122"/>
      <c r="G1034" s="124"/>
      <c r="H1034" s="122"/>
      <c r="I1034" s="82"/>
      <c r="J1034" s="82"/>
      <c r="K1034" s="82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2.75" customHeight="1" x14ac:dyDescent="0.25">
      <c r="A1035" s="122"/>
      <c r="B1035" s="122"/>
      <c r="C1035" s="100"/>
      <c r="D1035" s="123"/>
      <c r="E1035" s="122"/>
      <c r="F1035" s="122"/>
      <c r="G1035" s="124"/>
      <c r="H1035" s="122"/>
      <c r="I1035" s="82"/>
      <c r="J1035" s="82"/>
      <c r="K1035" s="82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2.75" customHeight="1" x14ac:dyDescent="0.25">
      <c r="A1036" s="122"/>
      <c r="B1036" s="122"/>
      <c r="C1036" s="100"/>
      <c r="D1036" s="123"/>
      <c r="E1036" s="122"/>
      <c r="F1036" s="122"/>
      <c r="G1036" s="124"/>
      <c r="H1036" s="122"/>
      <c r="I1036" s="82"/>
      <c r="J1036" s="82"/>
      <c r="K1036" s="82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2.75" customHeight="1" x14ac:dyDescent="0.25">
      <c r="A1037" s="122"/>
      <c r="B1037" s="122"/>
      <c r="C1037" s="100"/>
      <c r="D1037" s="123"/>
      <c r="E1037" s="122"/>
      <c r="F1037" s="122"/>
      <c r="G1037" s="124"/>
      <c r="H1037" s="122"/>
      <c r="I1037" s="82"/>
      <c r="J1037" s="82"/>
      <c r="K1037" s="82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2.75" customHeight="1" x14ac:dyDescent="0.25">
      <c r="A1038" s="122"/>
      <c r="B1038" s="122"/>
      <c r="C1038" s="100"/>
      <c r="D1038" s="123"/>
      <c r="E1038" s="122"/>
      <c r="F1038" s="122"/>
      <c r="G1038" s="124"/>
      <c r="H1038" s="122"/>
      <c r="I1038" s="82"/>
      <c r="J1038" s="82"/>
      <c r="K1038" s="82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2.75" customHeight="1" x14ac:dyDescent="0.25">
      <c r="A1039" s="122"/>
      <c r="B1039" s="122"/>
      <c r="C1039" s="100"/>
      <c r="D1039" s="123"/>
      <c r="E1039" s="122"/>
      <c r="F1039" s="122"/>
      <c r="G1039" s="124"/>
      <c r="H1039" s="122"/>
      <c r="I1039" s="82"/>
      <c r="J1039" s="82"/>
      <c r="K1039" s="82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2.75" customHeight="1" x14ac:dyDescent="0.25">
      <c r="A1040" s="122"/>
      <c r="B1040" s="122"/>
      <c r="C1040" s="100"/>
      <c r="D1040" s="123"/>
      <c r="E1040" s="122"/>
      <c r="F1040" s="122"/>
      <c r="G1040" s="124"/>
      <c r="H1040" s="122"/>
      <c r="I1040" s="82"/>
      <c r="J1040" s="82"/>
      <c r="K1040" s="82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2.75" customHeight="1" x14ac:dyDescent="0.25">
      <c r="A1041" s="122"/>
      <c r="B1041" s="122"/>
      <c r="C1041" s="100"/>
      <c r="D1041" s="123"/>
      <c r="E1041" s="122"/>
      <c r="F1041" s="122"/>
      <c r="G1041" s="124"/>
      <c r="H1041" s="122"/>
      <c r="I1041" s="82"/>
      <c r="J1041" s="82"/>
      <c r="K1041" s="82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2.75" customHeight="1" x14ac:dyDescent="0.25">
      <c r="A1042" s="122"/>
      <c r="B1042" s="122"/>
      <c r="C1042" s="100"/>
      <c r="D1042" s="123"/>
      <c r="E1042" s="122"/>
      <c r="F1042" s="122"/>
      <c r="G1042" s="124"/>
      <c r="H1042" s="122"/>
      <c r="I1042" s="82"/>
      <c r="J1042" s="82"/>
      <c r="K1042" s="82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2.75" customHeight="1" x14ac:dyDescent="0.25">
      <c r="A1043" s="122"/>
      <c r="B1043" s="122"/>
      <c r="C1043" s="100"/>
      <c r="D1043" s="123"/>
      <c r="E1043" s="122"/>
      <c r="F1043" s="122"/>
      <c r="G1043" s="124"/>
      <c r="H1043" s="122"/>
      <c r="I1043" s="82"/>
      <c r="J1043" s="82"/>
      <c r="K1043" s="82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2.75" customHeight="1" x14ac:dyDescent="0.25">
      <c r="A1044" s="122"/>
      <c r="B1044" s="122"/>
      <c r="C1044" s="100"/>
      <c r="D1044" s="123"/>
      <c r="E1044" s="122"/>
      <c r="F1044" s="122"/>
      <c r="G1044" s="124"/>
      <c r="H1044" s="122"/>
      <c r="I1044" s="82"/>
      <c r="J1044" s="82"/>
      <c r="K1044" s="82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2.75" customHeight="1" x14ac:dyDescent="0.25">
      <c r="A1045" s="122"/>
      <c r="B1045" s="122"/>
      <c r="C1045" s="100"/>
      <c r="D1045" s="123"/>
      <c r="E1045" s="122"/>
      <c r="F1045" s="122"/>
      <c r="G1045" s="124"/>
      <c r="H1045" s="122"/>
      <c r="I1045" s="82"/>
      <c r="J1045" s="82"/>
      <c r="K1045" s="82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2.75" customHeight="1" x14ac:dyDescent="0.25">
      <c r="A1046" s="122"/>
      <c r="B1046" s="122"/>
      <c r="C1046" s="100"/>
      <c r="D1046" s="123"/>
      <c r="E1046" s="122"/>
      <c r="F1046" s="122"/>
      <c r="G1046" s="124"/>
      <c r="H1046" s="122"/>
      <c r="I1046" s="82"/>
      <c r="J1046" s="82"/>
      <c r="K1046" s="82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</sheetData>
  <mergeCells count="1">
    <mergeCell ref="A5:K5"/>
  </mergeCells>
  <phoneticPr fontId="34" type="noConversion"/>
  <conditionalFormatting sqref="A7:A278">
    <cfRule type="duplicateValues" dxfId="4" priority="28"/>
  </conditionalFormatting>
  <dataValidations count="1">
    <dataValidation type="list" allowBlank="1" showErrorMessage="1" sqref="B7:B302">
      <formula1>"ELECTRICIDAD,INSTRUMENTACIÓN,MECÁNICA,SCADA,GENERAL,LINO NAVA,SIXTO TORRES,N/A"</formula1>
    </dataValidation>
  </dataValidations>
  <hyperlinks>
    <hyperlink ref="D7" r:id="rId1" display="ARNES Y CABO DE VIDA"/>
    <hyperlink ref="D9" r:id="rId2"/>
    <hyperlink ref="D16" r:id="rId3"/>
    <hyperlink ref="D19" r:id="rId4"/>
    <hyperlink ref="D20" r:id="rId5"/>
    <hyperlink ref="D21" r:id="rId6"/>
    <hyperlink ref="D18" r:id="rId7"/>
    <hyperlink ref="D17" r:id="rId8"/>
    <hyperlink ref="D25" r:id="rId9"/>
    <hyperlink ref="D26" r:id="rId10"/>
    <hyperlink ref="D22" r:id="rId11"/>
    <hyperlink ref="D23" r:id="rId12"/>
    <hyperlink ref="D24" r:id="rId13"/>
    <hyperlink ref="D27" r:id="rId14"/>
    <hyperlink ref="D37" r:id="rId15"/>
    <hyperlink ref="D28" r:id="rId16"/>
    <hyperlink ref="D29" r:id="rId17"/>
    <hyperlink ref="D30" r:id="rId18"/>
    <hyperlink ref="D31" r:id="rId19"/>
    <hyperlink ref="D32" r:id="rId20"/>
    <hyperlink ref="D33" r:id="rId21"/>
    <hyperlink ref="D34" r:id="rId22"/>
    <hyperlink ref="D35" r:id="rId23"/>
    <hyperlink ref="D36" r:id="rId24"/>
    <hyperlink ref="D38" r:id="rId25"/>
    <hyperlink ref="D39" r:id="rId26"/>
    <hyperlink ref="D40" r:id="rId27"/>
    <hyperlink ref="D42" r:id="rId28"/>
    <hyperlink ref="D43" r:id="rId29"/>
    <hyperlink ref="D44" r:id="rId30"/>
    <hyperlink ref="D45" r:id="rId31"/>
    <hyperlink ref="D46" r:id="rId32"/>
    <hyperlink ref="D41" r:id="rId33"/>
    <hyperlink ref="D10" r:id="rId34"/>
    <hyperlink ref="D11" r:id="rId35"/>
    <hyperlink ref="D12" r:id="rId36"/>
    <hyperlink ref="D13" r:id="rId37"/>
    <hyperlink ref="D14" r:id="rId38"/>
    <hyperlink ref="D15" r:id="rId39"/>
    <hyperlink ref="D47" r:id="rId40"/>
    <hyperlink ref="D48" r:id="rId41"/>
    <hyperlink ref="D49" r:id="rId42"/>
    <hyperlink ref="D50" r:id="rId43"/>
    <hyperlink ref="D51" r:id="rId44"/>
    <hyperlink ref="D52" r:id="rId45"/>
    <hyperlink ref="D53" r:id="rId46"/>
    <hyperlink ref="D54" r:id="rId47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48"/>
  <headerFooter>
    <oddFooter>&amp;LPágina &amp;P de &amp;RRevisión: "2" Fecha: 10/2024</oddFooter>
  </headerFooter>
  <drawing r:id="rId49"/>
  <legacyDrawing r:id="rId50"/>
  <tableParts count="1"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12"/>
  <sheetViews>
    <sheetView topLeftCell="G1" workbookViewId="0">
      <selection activeCell="A325" sqref="A325"/>
    </sheetView>
  </sheetViews>
  <sheetFormatPr defaultColWidth="14.42578125" defaultRowHeight="15" customHeight="1" x14ac:dyDescent="0.25"/>
  <cols>
    <col min="1" max="1" width="28.85546875" customWidth="1"/>
    <col min="2" max="2" width="26.85546875" customWidth="1"/>
    <col min="3" max="3" width="107" customWidth="1"/>
    <col min="4" max="4" width="28" customWidth="1"/>
    <col min="5" max="5" width="240.28515625" style="45" customWidth="1"/>
    <col min="6" max="6" width="110.85546875" customWidth="1"/>
    <col min="7" max="10" width="10.7109375" customWidth="1"/>
    <col min="11" max="11" width="24.5703125" customWidth="1"/>
    <col min="12" max="26" width="10.7109375" customWidth="1"/>
  </cols>
  <sheetData>
    <row r="1" spans="1:13" x14ac:dyDescent="0.25">
      <c r="A1" s="27" t="s">
        <v>4</v>
      </c>
      <c r="B1" s="28" t="s">
        <v>5</v>
      </c>
      <c r="C1" s="28" t="s">
        <v>6</v>
      </c>
      <c r="D1" s="28" t="s">
        <v>7</v>
      </c>
      <c r="E1" s="84" t="s">
        <v>506</v>
      </c>
      <c r="F1" s="98" t="s">
        <v>6</v>
      </c>
      <c r="K1" s="27" t="s">
        <v>507</v>
      </c>
      <c r="L1" s="33" t="s">
        <v>627</v>
      </c>
      <c r="M1" t="s">
        <v>1051</v>
      </c>
    </row>
    <row r="2" spans="1:13" x14ac:dyDescent="0.25">
      <c r="A2" s="27" t="s">
        <v>17</v>
      </c>
      <c r="B2" s="28"/>
      <c r="C2" s="28" t="s">
        <v>19</v>
      </c>
      <c r="D2" s="28" t="s">
        <v>20</v>
      </c>
      <c r="E2" s="46" t="s">
        <v>508</v>
      </c>
      <c r="F2" s="30" t="s">
        <v>19</v>
      </c>
      <c r="J2" s="29"/>
      <c r="K2" s="27" t="b">
        <f>REGISTRO!F7=Hoja1!F2</f>
        <v>1</v>
      </c>
      <c r="L2">
        <v>1</v>
      </c>
    </row>
    <row r="3" spans="1:13" x14ac:dyDescent="0.25">
      <c r="A3" s="27" t="s">
        <v>17</v>
      </c>
      <c r="B3" s="28"/>
      <c r="C3" s="28" t="s">
        <v>19</v>
      </c>
      <c r="D3" s="28" t="s">
        <v>26</v>
      </c>
      <c r="E3" s="46" t="s">
        <v>508</v>
      </c>
      <c r="F3" s="30" t="s">
        <v>19</v>
      </c>
      <c r="J3" s="29"/>
      <c r="K3" s="27" t="b">
        <f>REGISTRO!F8=Hoja1!F3</f>
        <v>1</v>
      </c>
      <c r="L3">
        <v>2</v>
      </c>
    </row>
    <row r="4" spans="1:13" x14ac:dyDescent="0.25">
      <c r="A4" s="27" t="s">
        <v>17</v>
      </c>
      <c r="B4" s="28"/>
      <c r="C4" s="28" t="s">
        <v>29</v>
      </c>
      <c r="D4" s="28" t="s">
        <v>30</v>
      </c>
      <c r="E4" s="46" t="s">
        <v>508</v>
      </c>
      <c r="F4" s="30" t="s">
        <v>29</v>
      </c>
      <c r="J4" s="29"/>
      <c r="K4" s="27" t="b">
        <f>REGISTRO!F9=Hoja1!F4</f>
        <v>1</v>
      </c>
      <c r="L4">
        <v>3</v>
      </c>
    </row>
    <row r="5" spans="1:13" x14ac:dyDescent="0.25">
      <c r="A5" s="27" t="s">
        <v>17</v>
      </c>
      <c r="B5" s="28"/>
      <c r="C5" s="28" t="s">
        <v>34</v>
      </c>
      <c r="D5" s="28">
        <v>43213804</v>
      </c>
      <c r="E5" s="48" t="s">
        <v>509</v>
      </c>
      <c r="F5" s="30" t="s">
        <v>34</v>
      </c>
      <c r="J5" s="29"/>
      <c r="K5" s="27" t="b">
        <f>REGISTRO!F10=Hoja1!F5</f>
        <v>1</v>
      </c>
      <c r="L5">
        <v>4</v>
      </c>
    </row>
    <row r="6" spans="1:13" x14ac:dyDescent="0.25">
      <c r="A6" s="27" t="s">
        <v>17</v>
      </c>
      <c r="B6" s="28"/>
      <c r="C6" s="28" t="s">
        <v>37</v>
      </c>
      <c r="D6" s="28">
        <v>2482004</v>
      </c>
      <c r="E6" s="48" t="s">
        <v>508</v>
      </c>
      <c r="F6" s="30" t="s">
        <v>37</v>
      </c>
      <c r="J6" s="29"/>
      <c r="K6" s="27" t="b">
        <f>REGISTRO!F11=Hoja1!F6</f>
        <v>1</v>
      </c>
      <c r="L6">
        <v>5</v>
      </c>
    </row>
    <row r="7" spans="1:13" x14ac:dyDescent="0.25">
      <c r="A7" s="27" t="s">
        <v>17</v>
      </c>
      <c r="B7" s="28"/>
      <c r="C7" s="28" t="s">
        <v>41</v>
      </c>
      <c r="D7" s="28" t="s">
        <v>42</v>
      </c>
      <c r="E7" s="48" t="s">
        <v>510</v>
      </c>
      <c r="F7" s="30" t="s">
        <v>41</v>
      </c>
      <c r="J7" s="29"/>
      <c r="K7" s="27" t="b">
        <f>REGISTRO!F12=Hoja1!F7</f>
        <v>1</v>
      </c>
      <c r="L7">
        <v>6</v>
      </c>
    </row>
    <row r="8" spans="1:13" x14ac:dyDescent="0.25">
      <c r="A8" s="27" t="s">
        <v>17</v>
      </c>
      <c r="B8" s="28"/>
      <c r="C8" s="28" t="s">
        <v>46</v>
      </c>
      <c r="D8" s="28">
        <v>6549329</v>
      </c>
      <c r="E8" s="48" t="s">
        <v>1038</v>
      </c>
      <c r="F8" s="30" t="s">
        <v>46</v>
      </c>
      <c r="J8" s="29"/>
      <c r="K8" s="27" t="b">
        <f>REGISTRO!F13=Hoja1!F8</f>
        <v>1</v>
      </c>
      <c r="L8">
        <v>7</v>
      </c>
    </row>
    <row r="9" spans="1:13" x14ac:dyDescent="0.25">
      <c r="A9" s="27" t="s">
        <v>17</v>
      </c>
      <c r="B9" s="28"/>
      <c r="C9" s="28" t="s">
        <v>1027</v>
      </c>
      <c r="D9" s="28" t="s">
        <v>52</v>
      </c>
      <c r="E9" s="48" t="s">
        <v>1047</v>
      </c>
      <c r="F9" s="30" t="s">
        <v>1027</v>
      </c>
      <c r="J9" s="29"/>
      <c r="K9" s="27" t="b">
        <f>REGISTRO!F14=Hoja1!F9</f>
        <v>1</v>
      </c>
      <c r="L9">
        <v>8</v>
      </c>
    </row>
    <row r="10" spans="1:13" x14ac:dyDescent="0.25">
      <c r="A10" s="27" t="s">
        <v>17</v>
      </c>
      <c r="B10" s="28"/>
      <c r="C10" s="28" t="s">
        <v>1027</v>
      </c>
      <c r="D10" s="28">
        <v>239466</v>
      </c>
      <c r="E10" s="48" t="s">
        <v>1043</v>
      </c>
      <c r="F10" s="30" t="s">
        <v>1027</v>
      </c>
      <c r="J10" s="29"/>
      <c r="K10" s="27" t="b">
        <f>REGISTRO!F15=Hoja1!F10</f>
        <v>1</v>
      </c>
      <c r="L10">
        <v>9</v>
      </c>
    </row>
    <row r="11" spans="1:13" x14ac:dyDescent="0.25">
      <c r="A11" s="27" t="s">
        <v>17</v>
      </c>
      <c r="B11" s="28"/>
      <c r="C11" s="28" t="s">
        <v>49</v>
      </c>
      <c r="D11" s="28">
        <v>6920</v>
      </c>
      <c r="E11" s="48" t="s">
        <v>1039</v>
      </c>
      <c r="F11" s="30" t="s">
        <v>49</v>
      </c>
      <c r="J11" s="29"/>
      <c r="K11" s="27" t="b">
        <f>REGISTRO!F16=Hoja1!F11</f>
        <v>1</v>
      </c>
      <c r="L11">
        <v>10</v>
      </c>
    </row>
    <row r="12" spans="1:13" x14ac:dyDescent="0.25">
      <c r="A12" s="27" t="s">
        <v>17</v>
      </c>
      <c r="B12" s="28"/>
      <c r="C12" s="28" t="s">
        <v>54</v>
      </c>
      <c r="D12" s="28">
        <v>61138</v>
      </c>
      <c r="E12" s="48" t="s">
        <v>795</v>
      </c>
      <c r="F12" s="78" t="s">
        <v>54</v>
      </c>
      <c r="J12" s="29"/>
      <c r="K12" s="27" t="b">
        <f>REGISTRO!F17=Hoja1!F12</f>
        <v>1</v>
      </c>
      <c r="L12">
        <v>11</v>
      </c>
    </row>
    <row r="13" spans="1:13" x14ac:dyDescent="0.25">
      <c r="A13" s="27" t="s">
        <v>17</v>
      </c>
      <c r="B13" s="28"/>
      <c r="C13" s="28" t="s">
        <v>57</v>
      </c>
      <c r="D13" s="28">
        <v>9478031</v>
      </c>
      <c r="E13" s="48" t="s">
        <v>803</v>
      </c>
      <c r="F13" s="36" t="s">
        <v>57</v>
      </c>
      <c r="J13" s="29"/>
      <c r="K13" s="27" t="b">
        <f>REGISTRO!F18=Hoja1!F13</f>
        <v>1</v>
      </c>
      <c r="L13">
        <v>12</v>
      </c>
    </row>
    <row r="14" spans="1:13" x14ac:dyDescent="0.25">
      <c r="A14" s="27" t="s">
        <v>17</v>
      </c>
      <c r="B14" s="28"/>
      <c r="C14" s="28" t="s">
        <v>59</v>
      </c>
      <c r="D14" s="28">
        <v>40826</v>
      </c>
      <c r="E14" s="48" t="s">
        <v>511</v>
      </c>
      <c r="F14" s="30" t="s">
        <v>59</v>
      </c>
      <c r="J14" s="29"/>
      <c r="K14" s="27" t="b">
        <f>REGISTRO!F19=Hoja1!F14</f>
        <v>1</v>
      </c>
      <c r="L14">
        <v>13</v>
      </c>
    </row>
    <row r="15" spans="1:13" x14ac:dyDescent="0.25">
      <c r="A15" s="27" t="s">
        <v>17</v>
      </c>
      <c r="B15" s="28" t="s">
        <v>189</v>
      </c>
      <c r="C15" s="28" t="s">
        <v>707</v>
      </c>
      <c r="D15" s="28">
        <v>51240293000</v>
      </c>
      <c r="E15" s="89" t="s">
        <v>1047</v>
      </c>
      <c r="F15" s="30" t="s">
        <v>707</v>
      </c>
      <c r="K15" s="27" t="b">
        <f>REGISTRO!F20=Hoja1!F15</f>
        <v>1</v>
      </c>
      <c r="L15">
        <v>14</v>
      </c>
    </row>
    <row r="16" spans="1:13" x14ac:dyDescent="0.25">
      <c r="A16" s="27" t="s">
        <v>17</v>
      </c>
      <c r="B16" s="28"/>
      <c r="C16" s="28" t="s">
        <v>63</v>
      </c>
      <c r="D16" s="28">
        <v>20465</v>
      </c>
      <c r="E16" s="48" t="s">
        <v>512</v>
      </c>
      <c r="F16" s="30" t="s">
        <v>63</v>
      </c>
      <c r="J16" s="29"/>
      <c r="K16" s="27" t="b">
        <f>REGISTRO!F21=Hoja1!F16</f>
        <v>1</v>
      </c>
      <c r="L16">
        <v>15</v>
      </c>
    </row>
    <row r="17" spans="1:12" x14ac:dyDescent="0.25">
      <c r="A17" s="27" t="s">
        <v>17</v>
      </c>
      <c r="B17" s="28"/>
      <c r="C17" s="28" t="s">
        <v>63</v>
      </c>
      <c r="D17" s="28"/>
      <c r="E17" s="48" t="s">
        <v>513</v>
      </c>
      <c r="F17" s="30" t="s">
        <v>63</v>
      </c>
      <c r="J17" s="29"/>
      <c r="K17" s="27" t="b">
        <f>REGISTRO!F22=Hoja1!F17</f>
        <v>1</v>
      </c>
      <c r="L17">
        <v>16</v>
      </c>
    </row>
    <row r="18" spans="1:12" x14ac:dyDescent="0.25">
      <c r="A18" s="27" t="s">
        <v>17</v>
      </c>
      <c r="B18" s="28"/>
      <c r="C18" s="28" t="s">
        <v>70</v>
      </c>
      <c r="D18" s="28">
        <v>11099676</v>
      </c>
      <c r="E18" s="48" t="s">
        <v>514</v>
      </c>
      <c r="F18" s="30" t="s">
        <v>70</v>
      </c>
      <c r="J18" s="29"/>
      <c r="K18" s="27" t="b">
        <f>REGISTRO!F23=Hoja1!F18</f>
        <v>1</v>
      </c>
      <c r="L18">
        <v>17</v>
      </c>
    </row>
    <row r="19" spans="1:12" x14ac:dyDescent="0.25">
      <c r="A19" s="27" t="s">
        <v>17</v>
      </c>
      <c r="B19" s="28"/>
      <c r="C19" s="28" t="s">
        <v>70</v>
      </c>
      <c r="D19" s="28">
        <v>4540536</v>
      </c>
      <c r="E19" s="48" t="s">
        <v>515</v>
      </c>
      <c r="F19" s="30" t="s">
        <v>70</v>
      </c>
      <c r="J19" s="29"/>
      <c r="K19" s="27" t="b">
        <f>REGISTRO!F24=Hoja1!F19</f>
        <v>1</v>
      </c>
      <c r="L19">
        <v>18</v>
      </c>
    </row>
    <row r="20" spans="1:12" x14ac:dyDescent="0.25">
      <c r="A20" s="27" t="s">
        <v>17</v>
      </c>
      <c r="B20" s="28"/>
      <c r="C20" s="28" t="s">
        <v>70</v>
      </c>
      <c r="D20" s="28">
        <v>7130409</v>
      </c>
      <c r="E20" s="48" t="s">
        <v>1048</v>
      </c>
      <c r="F20" s="30" t="s">
        <v>70</v>
      </c>
      <c r="J20" s="29"/>
      <c r="K20" s="27" t="b">
        <f>REGISTRO!F25=Hoja1!F20</f>
        <v>1</v>
      </c>
      <c r="L20">
        <v>19</v>
      </c>
    </row>
    <row r="21" spans="1:12" x14ac:dyDescent="0.25">
      <c r="A21" s="27" t="s">
        <v>17</v>
      </c>
      <c r="B21" s="28"/>
      <c r="C21" s="28" t="s">
        <v>1075</v>
      </c>
      <c r="D21" s="28">
        <v>2160194</v>
      </c>
      <c r="E21" s="48" t="s">
        <v>1076</v>
      </c>
      <c r="F21" s="30" t="s">
        <v>1075</v>
      </c>
      <c r="J21" s="29"/>
      <c r="K21" s="27" t="b">
        <f>REGISTRO!F26=Hoja1!F21</f>
        <v>1</v>
      </c>
      <c r="L21">
        <v>20</v>
      </c>
    </row>
    <row r="22" spans="1:12" ht="15.75" customHeight="1" x14ac:dyDescent="0.25">
      <c r="A22" s="27" t="s">
        <v>17</v>
      </c>
      <c r="B22" s="28"/>
      <c r="C22" s="28" t="s">
        <v>77</v>
      </c>
      <c r="D22" s="28">
        <v>4199</v>
      </c>
      <c r="E22" s="48" t="s">
        <v>516</v>
      </c>
      <c r="F22" s="30" t="s">
        <v>77</v>
      </c>
      <c r="J22" s="29"/>
      <c r="K22" s="27" t="b">
        <f>REGISTRO!F27=Hoja1!F22</f>
        <v>1</v>
      </c>
      <c r="L22">
        <v>21</v>
      </c>
    </row>
    <row r="23" spans="1:12" ht="15.75" customHeight="1" x14ac:dyDescent="0.25">
      <c r="A23" s="27" t="s">
        <v>17</v>
      </c>
      <c r="B23" s="28"/>
      <c r="C23" s="28" t="s">
        <v>80</v>
      </c>
      <c r="D23" s="28">
        <v>20240121051</v>
      </c>
      <c r="E23" s="48" t="s">
        <v>517</v>
      </c>
      <c r="F23" s="30" t="s">
        <v>80</v>
      </c>
      <c r="J23" s="29"/>
      <c r="K23" s="27" t="b">
        <f>REGISTRO!F28=Hoja1!F23</f>
        <v>1</v>
      </c>
      <c r="L23">
        <v>22</v>
      </c>
    </row>
    <row r="24" spans="1:12" ht="15.75" customHeight="1" x14ac:dyDescent="0.25">
      <c r="A24" s="27" t="s">
        <v>17</v>
      </c>
      <c r="B24" s="28"/>
      <c r="C24" s="28" t="s">
        <v>85</v>
      </c>
      <c r="D24" s="28" t="s">
        <v>86</v>
      </c>
      <c r="E24" s="48" t="s">
        <v>518</v>
      </c>
      <c r="F24" s="30" t="s">
        <v>85</v>
      </c>
      <c r="J24" s="29"/>
      <c r="K24" s="27" t="b">
        <f>REGISTRO!F29=Hoja1!F24</f>
        <v>1</v>
      </c>
      <c r="L24">
        <v>23</v>
      </c>
    </row>
    <row r="25" spans="1:12" ht="15.75" customHeight="1" x14ac:dyDescent="0.25">
      <c r="A25" s="27" t="s">
        <v>17</v>
      </c>
      <c r="B25" s="28"/>
      <c r="C25" s="28" t="s">
        <v>85</v>
      </c>
      <c r="D25" s="28" t="s">
        <v>90</v>
      </c>
      <c r="E25" s="48" t="s">
        <v>519</v>
      </c>
      <c r="F25" s="30" t="s">
        <v>85</v>
      </c>
      <c r="J25" s="29"/>
      <c r="K25" s="27" t="b">
        <f>REGISTRO!F30=Hoja1!F25</f>
        <v>1</v>
      </c>
      <c r="L25">
        <v>24</v>
      </c>
    </row>
    <row r="26" spans="1:12" ht="15.75" customHeight="1" x14ac:dyDescent="0.25">
      <c r="A26" s="27" t="s">
        <v>17</v>
      </c>
      <c r="B26" s="28" t="s">
        <v>1046</v>
      </c>
      <c r="C26" s="28" t="s">
        <v>85</v>
      </c>
      <c r="D26" s="28" t="s">
        <v>91</v>
      </c>
      <c r="E26" s="48" t="s">
        <v>1188</v>
      </c>
      <c r="F26" s="36" t="s">
        <v>85</v>
      </c>
      <c r="J26" s="29"/>
      <c r="K26" s="27" t="b">
        <f>REGISTRO!F31=Hoja1!F26</f>
        <v>1</v>
      </c>
      <c r="L26">
        <v>25</v>
      </c>
    </row>
    <row r="27" spans="1:12" ht="15.75" customHeight="1" x14ac:dyDescent="0.25">
      <c r="A27" s="27" t="s">
        <v>17</v>
      </c>
      <c r="B27" s="28" t="s">
        <v>1176</v>
      </c>
      <c r="C27" s="28" t="s">
        <v>85</v>
      </c>
      <c r="D27" s="28" t="s">
        <v>91</v>
      </c>
      <c r="E27" s="48" t="s">
        <v>1189</v>
      </c>
      <c r="F27" s="36" t="s">
        <v>85</v>
      </c>
      <c r="J27" s="29"/>
      <c r="K27" s="27" t="b">
        <f>REGISTRO!F32=Hoja1!F27</f>
        <v>1</v>
      </c>
      <c r="L27">
        <v>26</v>
      </c>
    </row>
    <row r="28" spans="1:12" ht="15.75" customHeight="1" x14ac:dyDescent="0.25">
      <c r="A28" s="27" t="s">
        <v>17</v>
      </c>
      <c r="B28" s="28" t="s">
        <v>1177</v>
      </c>
      <c r="C28" s="28" t="s">
        <v>85</v>
      </c>
      <c r="D28" s="28" t="s">
        <v>91</v>
      </c>
      <c r="E28" s="48" t="s">
        <v>1187</v>
      </c>
      <c r="F28" s="36" t="s">
        <v>85</v>
      </c>
      <c r="J28" s="29"/>
      <c r="K28" s="27" t="b">
        <f>REGISTRO!F33=Hoja1!F28</f>
        <v>1</v>
      </c>
      <c r="L28">
        <v>27</v>
      </c>
    </row>
    <row r="29" spans="1:12" ht="15.75" customHeight="1" x14ac:dyDescent="0.25">
      <c r="A29" s="27" t="s">
        <v>17</v>
      </c>
      <c r="B29" s="28" t="s">
        <v>1305</v>
      </c>
      <c r="C29" s="28" t="s">
        <v>85</v>
      </c>
      <c r="D29" s="28" t="s">
        <v>91</v>
      </c>
      <c r="E29" s="48" t="s">
        <v>1306</v>
      </c>
      <c r="F29" s="36" t="s">
        <v>85</v>
      </c>
      <c r="J29" s="29"/>
      <c r="K29" s="27" t="b">
        <f>REGISTRO!F34=Hoja1!F29</f>
        <v>1</v>
      </c>
      <c r="L29">
        <v>28</v>
      </c>
    </row>
    <row r="30" spans="1:12" ht="15.75" customHeight="1" x14ac:dyDescent="0.25">
      <c r="A30" s="27" t="s">
        <v>17</v>
      </c>
      <c r="B30" s="28"/>
      <c r="C30" s="28" t="s">
        <v>95</v>
      </c>
      <c r="D30" s="28">
        <v>1665023</v>
      </c>
      <c r="E30" s="48" t="s">
        <v>520</v>
      </c>
      <c r="F30" s="30" t="s">
        <v>95</v>
      </c>
      <c r="J30" s="29"/>
      <c r="K30" s="27" t="b">
        <f>REGISTRO!F35=Hoja1!F30</f>
        <v>1</v>
      </c>
      <c r="L30">
        <v>29</v>
      </c>
    </row>
    <row r="31" spans="1:12" ht="15.75" customHeight="1" x14ac:dyDescent="0.25">
      <c r="A31" s="27" t="s">
        <v>17</v>
      </c>
      <c r="B31" s="28"/>
      <c r="C31" s="28" t="s">
        <v>95</v>
      </c>
      <c r="D31" s="28">
        <v>1855616</v>
      </c>
      <c r="E31" s="48" t="s">
        <v>521</v>
      </c>
      <c r="F31" s="30" t="s">
        <v>95</v>
      </c>
      <c r="J31" s="29"/>
      <c r="K31" s="27" t="b">
        <f>REGISTRO!F36=Hoja1!F31</f>
        <v>1</v>
      </c>
      <c r="L31">
        <v>30</v>
      </c>
    </row>
    <row r="32" spans="1:12" ht="15.75" customHeight="1" x14ac:dyDescent="0.25">
      <c r="A32" s="27" t="s">
        <v>17</v>
      </c>
      <c r="B32" s="28"/>
      <c r="C32" s="28" t="s">
        <v>95</v>
      </c>
      <c r="D32" s="28" t="s">
        <v>98</v>
      </c>
      <c r="E32" s="48" t="s">
        <v>522</v>
      </c>
      <c r="F32" s="30" t="s">
        <v>95</v>
      </c>
      <c r="J32" s="29"/>
      <c r="K32" s="27" t="b">
        <f>REGISTRO!F37=Hoja1!F32</f>
        <v>1</v>
      </c>
      <c r="L32">
        <v>31</v>
      </c>
    </row>
    <row r="33" spans="1:12" ht="15.75" customHeight="1" x14ac:dyDescent="0.25">
      <c r="A33" s="27" t="s">
        <v>17</v>
      </c>
      <c r="B33" s="28"/>
      <c r="C33" s="28" t="s">
        <v>95</v>
      </c>
      <c r="D33" s="28">
        <v>1855623</v>
      </c>
      <c r="E33" s="48" t="s">
        <v>523</v>
      </c>
      <c r="F33" s="30" t="s">
        <v>95</v>
      </c>
      <c r="J33" s="29"/>
      <c r="K33" s="27" t="b">
        <f>REGISTRO!F38=Hoja1!F33</f>
        <v>1</v>
      </c>
      <c r="L33">
        <v>32</v>
      </c>
    </row>
    <row r="34" spans="1:12" ht="15.75" customHeight="1" x14ac:dyDescent="0.25">
      <c r="A34" s="27" t="s">
        <v>17</v>
      </c>
      <c r="B34" s="28"/>
      <c r="C34" s="28" t="s">
        <v>95</v>
      </c>
      <c r="D34" s="28">
        <v>9670008</v>
      </c>
      <c r="E34" s="48" t="s">
        <v>524</v>
      </c>
      <c r="F34" s="36" t="s">
        <v>95</v>
      </c>
      <c r="G34" s="45"/>
      <c r="H34" s="45"/>
      <c r="I34" s="45"/>
      <c r="J34" s="46"/>
      <c r="K34" s="27" t="b">
        <f>REGISTRO!F39=Hoja1!F34</f>
        <v>1</v>
      </c>
      <c r="L34">
        <v>33</v>
      </c>
    </row>
    <row r="35" spans="1:12" ht="15.75" customHeight="1" x14ac:dyDescent="0.25">
      <c r="A35" s="27" t="s">
        <v>17</v>
      </c>
      <c r="B35" s="28"/>
      <c r="C35" s="28" t="s">
        <v>109</v>
      </c>
      <c r="D35" s="28" t="s">
        <v>100</v>
      </c>
      <c r="E35" s="48" t="s">
        <v>807</v>
      </c>
      <c r="F35" s="36" t="s">
        <v>109</v>
      </c>
      <c r="G35" s="45"/>
      <c r="H35" s="45"/>
      <c r="I35" s="45"/>
      <c r="J35" s="46"/>
      <c r="K35" s="27" t="b">
        <f>REGISTRO!F40=Hoja1!F35</f>
        <v>1</v>
      </c>
      <c r="L35">
        <v>34</v>
      </c>
    </row>
    <row r="36" spans="1:12" ht="15.75" customHeight="1" x14ac:dyDescent="0.25">
      <c r="A36" s="27" t="s">
        <v>17</v>
      </c>
      <c r="B36" s="28"/>
      <c r="C36" s="28" t="s">
        <v>109</v>
      </c>
      <c r="D36" s="28" t="s">
        <v>525</v>
      </c>
      <c r="E36" s="48" t="s">
        <v>526</v>
      </c>
      <c r="F36" s="36" t="s">
        <v>109</v>
      </c>
      <c r="G36" s="45"/>
      <c r="H36" s="45"/>
      <c r="I36" s="45"/>
      <c r="J36" s="46"/>
      <c r="K36" s="27" t="b">
        <f>REGISTRO!F41=Hoja1!F36</f>
        <v>1</v>
      </c>
      <c r="L36">
        <v>35</v>
      </c>
    </row>
    <row r="37" spans="1:12" ht="15.75" customHeight="1" x14ac:dyDescent="0.25">
      <c r="A37" s="27" t="s">
        <v>17</v>
      </c>
      <c r="B37" s="28"/>
      <c r="C37" s="28" t="s">
        <v>109</v>
      </c>
      <c r="D37" s="28">
        <v>4122575</v>
      </c>
      <c r="E37" s="48" t="s">
        <v>787</v>
      </c>
      <c r="F37" s="36" t="s">
        <v>109</v>
      </c>
      <c r="G37" s="45"/>
      <c r="H37" s="45"/>
      <c r="I37" s="45"/>
      <c r="J37" s="46"/>
      <c r="K37" s="27" t="b">
        <f>REGISTRO!F42=Hoja1!F37</f>
        <v>1</v>
      </c>
      <c r="L37">
        <v>36</v>
      </c>
    </row>
    <row r="38" spans="1:12" ht="15.75" customHeight="1" x14ac:dyDescent="0.25">
      <c r="A38" s="27" t="s">
        <v>17</v>
      </c>
      <c r="B38" s="28"/>
      <c r="C38" s="28" t="s">
        <v>109</v>
      </c>
      <c r="D38" s="28">
        <v>4096511</v>
      </c>
      <c r="E38" s="48" t="s">
        <v>809</v>
      </c>
      <c r="F38" s="36" t="s">
        <v>109</v>
      </c>
      <c r="G38" s="45"/>
      <c r="H38" s="45"/>
      <c r="I38" s="45"/>
      <c r="J38" s="46"/>
      <c r="K38" s="27" t="b">
        <f>REGISTRO!F43=Hoja1!F38</f>
        <v>1</v>
      </c>
      <c r="L38">
        <v>37</v>
      </c>
    </row>
    <row r="39" spans="1:12" ht="15.75" customHeight="1" x14ac:dyDescent="0.25">
      <c r="A39" s="27" t="s">
        <v>17</v>
      </c>
      <c r="B39" s="28"/>
      <c r="C39" s="28" t="s">
        <v>109</v>
      </c>
      <c r="D39" s="28">
        <v>4122176</v>
      </c>
      <c r="E39" s="48" t="s">
        <v>808</v>
      </c>
      <c r="F39" s="36" t="s">
        <v>109</v>
      </c>
      <c r="G39" s="45"/>
      <c r="H39" s="45"/>
      <c r="I39" s="45"/>
      <c r="J39" s="46"/>
      <c r="K39" s="27" t="b">
        <f>REGISTRO!F44=Hoja1!F39</f>
        <v>1</v>
      </c>
      <c r="L39">
        <v>38</v>
      </c>
    </row>
    <row r="40" spans="1:12" ht="15.75" customHeight="1" x14ac:dyDescent="0.25">
      <c r="A40" s="27" t="s">
        <v>17</v>
      </c>
      <c r="B40" s="28" t="s">
        <v>112</v>
      </c>
      <c r="C40" s="28" t="s">
        <v>786</v>
      </c>
      <c r="D40" s="28" t="s">
        <v>113</v>
      </c>
      <c r="E40" s="48" t="s">
        <v>798</v>
      </c>
      <c r="F40" s="36" t="s">
        <v>786</v>
      </c>
      <c r="J40" s="29"/>
      <c r="K40" s="27" t="b">
        <f>REGISTRO!F45=Hoja1!F40</f>
        <v>1</v>
      </c>
      <c r="L40">
        <v>39</v>
      </c>
    </row>
    <row r="41" spans="1:12" ht="15.75" customHeight="1" x14ac:dyDescent="0.25">
      <c r="A41" s="27" t="s">
        <v>17</v>
      </c>
      <c r="B41" s="28"/>
      <c r="C41" s="28" t="s">
        <v>786</v>
      </c>
      <c r="D41" s="28" t="s">
        <v>793</v>
      </c>
      <c r="E41" s="48" t="s">
        <v>799</v>
      </c>
      <c r="F41" s="36" t="s">
        <v>786</v>
      </c>
      <c r="K41" s="27" t="b">
        <f>REGISTRO!F46=Hoja1!F41</f>
        <v>1</v>
      </c>
      <c r="L41">
        <v>40</v>
      </c>
    </row>
    <row r="42" spans="1:12" ht="15.75" customHeight="1" x14ac:dyDescent="0.25">
      <c r="A42" s="27" t="s">
        <v>17</v>
      </c>
      <c r="B42" s="28"/>
      <c r="C42" s="28" t="s">
        <v>116</v>
      </c>
      <c r="D42" s="28" t="s">
        <v>117</v>
      </c>
      <c r="E42" s="47" t="s">
        <v>788</v>
      </c>
      <c r="F42" s="36" t="s">
        <v>116</v>
      </c>
      <c r="J42" s="29"/>
      <c r="K42" s="27" t="b">
        <f>REGISTRO!F47=Hoja1!F42</f>
        <v>1</v>
      </c>
      <c r="L42">
        <v>41</v>
      </c>
    </row>
    <row r="43" spans="1:12" ht="15.75" customHeight="1" x14ac:dyDescent="0.25">
      <c r="A43" s="27" t="s">
        <v>17</v>
      </c>
      <c r="B43" s="28"/>
      <c r="C43" s="28" t="s">
        <v>121</v>
      </c>
      <c r="D43" s="28" t="s">
        <v>122</v>
      </c>
      <c r="E43" s="47" t="s">
        <v>527</v>
      </c>
      <c r="F43" s="36" t="s">
        <v>121</v>
      </c>
      <c r="K43" s="27" t="b">
        <f>REGISTRO!F48=Hoja1!F43</f>
        <v>1</v>
      </c>
      <c r="L43">
        <v>42</v>
      </c>
    </row>
    <row r="44" spans="1:12" ht="15.75" customHeight="1" x14ac:dyDescent="0.25">
      <c r="A44" s="27" t="s">
        <v>17</v>
      </c>
      <c r="B44" s="28"/>
      <c r="C44" s="28" t="s">
        <v>125</v>
      </c>
      <c r="D44" s="28">
        <v>3102632</v>
      </c>
      <c r="E44" s="47" t="s">
        <v>794</v>
      </c>
      <c r="F44" s="36" t="s">
        <v>125</v>
      </c>
      <c r="K44" s="27" t="b">
        <f>REGISTRO!F49=Hoja1!F44</f>
        <v>1</v>
      </c>
      <c r="L44">
        <v>43</v>
      </c>
    </row>
    <row r="45" spans="1:12" ht="15.75" customHeight="1" x14ac:dyDescent="0.25">
      <c r="A45" s="27" t="s">
        <v>17</v>
      </c>
      <c r="B45" s="28"/>
      <c r="C45" s="28" t="s">
        <v>125</v>
      </c>
      <c r="D45" s="28" t="s">
        <v>789</v>
      </c>
      <c r="E45" s="48" t="s">
        <v>791</v>
      </c>
      <c r="F45" s="36" t="s">
        <v>125</v>
      </c>
      <c r="K45" s="27" t="b">
        <f>REGISTRO!F50=Hoja1!F45</f>
        <v>1</v>
      </c>
      <c r="L45">
        <v>44</v>
      </c>
    </row>
    <row r="46" spans="1:12" ht="15.75" customHeight="1" x14ac:dyDescent="0.25">
      <c r="A46" s="27" t="s">
        <v>17</v>
      </c>
      <c r="B46" s="28"/>
      <c r="C46" s="28" t="s">
        <v>125</v>
      </c>
      <c r="D46" s="28" t="s">
        <v>790</v>
      </c>
      <c r="E46" s="48" t="s">
        <v>792</v>
      </c>
      <c r="F46" s="36" t="s">
        <v>125</v>
      </c>
      <c r="K46" s="27" t="b">
        <f>REGISTRO!F51=Hoja1!F46</f>
        <v>1</v>
      </c>
      <c r="L46">
        <v>45</v>
      </c>
    </row>
    <row r="47" spans="1:12" ht="15.75" customHeight="1" x14ac:dyDescent="0.25">
      <c r="A47" s="27" t="s">
        <v>17</v>
      </c>
      <c r="B47" s="28" t="s">
        <v>131</v>
      </c>
      <c r="C47" s="28" t="s">
        <v>132</v>
      </c>
      <c r="D47" s="28">
        <v>1230155</v>
      </c>
      <c r="E47" s="47" t="s">
        <v>528</v>
      </c>
      <c r="F47" s="30" t="s">
        <v>132</v>
      </c>
      <c r="K47" s="27" t="b">
        <f>REGISTRO!F52=Hoja1!F47</f>
        <v>1</v>
      </c>
      <c r="L47">
        <v>46</v>
      </c>
    </row>
    <row r="48" spans="1:12" ht="15.75" customHeight="1" x14ac:dyDescent="0.25">
      <c r="A48" s="27" t="s">
        <v>17</v>
      </c>
      <c r="B48" s="28"/>
      <c r="C48" s="28" t="s">
        <v>134</v>
      </c>
      <c r="D48" s="28">
        <v>6185365</v>
      </c>
      <c r="E48" s="90" t="s">
        <v>529</v>
      </c>
      <c r="F48" s="36" t="s">
        <v>134</v>
      </c>
      <c r="K48" s="27" t="b">
        <f>REGISTRO!F53=Hoja1!F48</f>
        <v>1</v>
      </c>
      <c r="L48">
        <v>47</v>
      </c>
    </row>
    <row r="49" spans="1:12" ht="15.75" customHeight="1" x14ac:dyDescent="0.25">
      <c r="A49" s="27" t="s">
        <v>17</v>
      </c>
      <c r="B49" s="28"/>
      <c r="C49" s="28" t="s">
        <v>1370</v>
      </c>
      <c r="D49" s="28">
        <v>30250050090</v>
      </c>
      <c r="E49" s="90" t="s">
        <v>1371</v>
      </c>
      <c r="F49" s="36" t="s">
        <v>1370</v>
      </c>
      <c r="K49" s="27" t="b">
        <f>REGISTRO!F54=Hoja1!F49</f>
        <v>1</v>
      </c>
      <c r="L49">
        <v>48</v>
      </c>
    </row>
    <row r="50" spans="1:12" ht="15.75" customHeight="1" x14ac:dyDescent="0.25">
      <c r="A50" s="27" t="s">
        <v>17</v>
      </c>
      <c r="B50" s="28"/>
      <c r="C50" s="28" t="s">
        <v>137</v>
      </c>
      <c r="D50" s="28" t="s">
        <v>138</v>
      </c>
      <c r="E50" s="47" t="s">
        <v>749</v>
      </c>
      <c r="F50" s="30" t="s">
        <v>137</v>
      </c>
      <c r="K50" s="27" t="b">
        <f>REGISTRO!F55=Hoja1!F50</f>
        <v>1</v>
      </c>
      <c r="L50">
        <v>49</v>
      </c>
    </row>
    <row r="51" spans="1:12" ht="15.75" customHeight="1" x14ac:dyDescent="0.25">
      <c r="A51" s="27" t="s">
        <v>17</v>
      </c>
      <c r="B51" s="28"/>
      <c r="C51" s="28" t="s">
        <v>137</v>
      </c>
      <c r="D51" s="102" t="s">
        <v>1336</v>
      </c>
      <c r="E51" s="47" t="s">
        <v>1337</v>
      </c>
      <c r="F51" s="30" t="s">
        <v>137</v>
      </c>
      <c r="K51" s="27" t="b">
        <f>REGISTRO!F56=Hoja1!F51</f>
        <v>1</v>
      </c>
      <c r="L51">
        <v>50</v>
      </c>
    </row>
    <row r="52" spans="1:12" ht="15.75" customHeight="1" x14ac:dyDescent="0.25">
      <c r="A52" s="27" t="s">
        <v>17</v>
      </c>
      <c r="B52" s="28"/>
      <c r="C52" s="79" t="s">
        <v>137</v>
      </c>
      <c r="D52" s="28" t="s">
        <v>1107</v>
      </c>
      <c r="E52" s="47" t="s">
        <v>1148</v>
      </c>
      <c r="F52" s="36" t="s">
        <v>137</v>
      </c>
      <c r="K52" s="27" t="b">
        <f>REGISTRO!F57=Hoja1!F52</f>
        <v>1</v>
      </c>
      <c r="L52">
        <v>51</v>
      </c>
    </row>
    <row r="53" spans="1:12" ht="15.75" customHeight="1" x14ac:dyDescent="0.25">
      <c r="A53" s="27" t="s">
        <v>17</v>
      </c>
      <c r="B53" s="28"/>
      <c r="C53" s="28" t="s">
        <v>143</v>
      </c>
      <c r="D53" s="28" t="s">
        <v>144</v>
      </c>
      <c r="E53" s="47" t="s">
        <v>748</v>
      </c>
      <c r="F53" s="30" t="s">
        <v>143</v>
      </c>
      <c r="K53" s="27" t="b">
        <f>REGISTRO!F58=Hoja1!F53</f>
        <v>1</v>
      </c>
      <c r="L53">
        <v>52</v>
      </c>
    </row>
    <row r="54" spans="1:12" ht="15.75" customHeight="1" x14ac:dyDescent="0.25">
      <c r="A54" s="27" t="s">
        <v>17</v>
      </c>
      <c r="B54" s="28"/>
      <c r="C54" s="28" t="s">
        <v>143</v>
      </c>
      <c r="D54" s="28" t="s">
        <v>722</v>
      </c>
      <c r="E54" s="91" t="s">
        <v>736</v>
      </c>
      <c r="F54" s="30" t="s">
        <v>143</v>
      </c>
      <c r="K54" s="27" t="b">
        <f>REGISTRO!F59=Hoja1!F54</f>
        <v>1</v>
      </c>
      <c r="L54">
        <v>53</v>
      </c>
    </row>
    <row r="55" spans="1:12" ht="15.75" customHeight="1" x14ac:dyDescent="0.25">
      <c r="A55" s="27" t="s">
        <v>17</v>
      </c>
      <c r="B55" s="28"/>
      <c r="C55" s="28" t="s">
        <v>143</v>
      </c>
      <c r="D55" s="28" t="s">
        <v>724</v>
      </c>
      <c r="E55" s="47" t="s">
        <v>737</v>
      </c>
      <c r="F55" s="30" t="s">
        <v>143</v>
      </c>
      <c r="K55" s="27" t="b">
        <f>REGISTRO!F60=Hoja1!F55</f>
        <v>1</v>
      </c>
      <c r="L55">
        <v>54</v>
      </c>
    </row>
    <row r="56" spans="1:12" ht="15.75" customHeight="1" x14ac:dyDescent="0.25">
      <c r="A56" s="27" t="s">
        <v>17</v>
      </c>
      <c r="B56" s="28"/>
      <c r="C56" s="28" t="s">
        <v>143</v>
      </c>
      <c r="D56" s="28" t="s">
        <v>725</v>
      </c>
      <c r="E56" s="47" t="s">
        <v>738</v>
      </c>
      <c r="F56" s="30" t="s">
        <v>143</v>
      </c>
      <c r="K56" s="27" t="b">
        <f>REGISTRO!F61=Hoja1!F56</f>
        <v>1</v>
      </c>
      <c r="L56">
        <v>55</v>
      </c>
    </row>
    <row r="57" spans="1:12" ht="15.75" customHeight="1" x14ac:dyDescent="0.25">
      <c r="A57" s="27" t="s">
        <v>17</v>
      </c>
      <c r="B57" s="28" t="s">
        <v>189</v>
      </c>
      <c r="C57" s="28" t="s">
        <v>708</v>
      </c>
      <c r="D57" s="28">
        <v>67773901</v>
      </c>
      <c r="E57" s="48" t="s">
        <v>1074</v>
      </c>
      <c r="F57" s="30" t="s">
        <v>708</v>
      </c>
      <c r="K57" s="27" t="b">
        <f>REGISTRO!F62=Hoja1!F57</f>
        <v>1</v>
      </c>
      <c r="L57">
        <v>56</v>
      </c>
    </row>
    <row r="58" spans="1:12" ht="15.75" customHeight="1" x14ac:dyDescent="0.25">
      <c r="A58" s="27" t="s">
        <v>17</v>
      </c>
      <c r="B58" s="28" t="s">
        <v>189</v>
      </c>
      <c r="C58" s="28" t="s">
        <v>147</v>
      </c>
      <c r="D58" s="28">
        <v>7046016</v>
      </c>
      <c r="E58" s="90" t="s">
        <v>802</v>
      </c>
      <c r="F58" s="36" t="s">
        <v>147</v>
      </c>
      <c r="K58" s="27" t="b">
        <f>REGISTRO!F63=Hoja1!F58</f>
        <v>1</v>
      </c>
      <c r="L58">
        <v>57</v>
      </c>
    </row>
    <row r="59" spans="1:12" ht="15.75" customHeight="1" x14ac:dyDescent="0.25">
      <c r="A59" s="27" t="s">
        <v>17</v>
      </c>
      <c r="B59" s="28"/>
      <c r="C59" s="28" t="s">
        <v>147</v>
      </c>
      <c r="D59" s="28" t="s">
        <v>148</v>
      </c>
      <c r="E59" s="47" t="s">
        <v>530</v>
      </c>
      <c r="F59" s="30" t="s">
        <v>147</v>
      </c>
      <c r="K59" s="27" t="b">
        <f>REGISTRO!F64=Hoja1!F59</f>
        <v>1</v>
      </c>
      <c r="L59">
        <v>58</v>
      </c>
    </row>
    <row r="60" spans="1:12" ht="15.75" customHeight="1" x14ac:dyDescent="0.25">
      <c r="A60" s="27" t="s">
        <v>17</v>
      </c>
      <c r="B60" s="28"/>
      <c r="C60" s="28" t="s">
        <v>151</v>
      </c>
      <c r="D60" s="28">
        <v>6269278</v>
      </c>
      <c r="E60" s="47" t="s">
        <v>1040</v>
      </c>
      <c r="F60" s="31" t="s">
        <v>151</v>
      </c>
      <c r="K60" s="27" t="b">
        <f>REGISTRO!F65=Hoja1!F60</f>
        <v>1</v>
      </c>
      <c r="L60">
        <v>59</v>
      </c>
    </row>
    <row r="61" spans="1:12" ht="15.75" customHeight="1" x14ac:dyDescent="0.25">
      <c r="A61" s="27" t="s">
        <v>17</v>
      </c>
      <c r="B61" s="28"/>
      <c r="C61" s="28" t="s">
        <v>154</v>
      </c>
      <c r="D61" s="28">
        <v>3212012</v>
      </c>
      <c r="E61" s="47" t="s">
        <v>1041</v>
      </c>
      <c r="F61" s="31" t="s">
        <v>154</v>
      </c>
      <c r="K61" s="27" t="b">
        <f>REGISTRO!F66=Hoja1!F61</f>
        <v>1</v>
      </c>
      <c r="L61">
        <v>60</v>
      </c>
    </row>
    <row r="62" spans="1:12" ht="15.75" customHeight="1" x14ac:dyDescent="0.25">
      <c r="A62" s="27" t="s">
        <v>17</v>
      </c>
      <c r="B62" s="28"/>
      <c r="C62" s="79" t="s">
        <v>155</v>
      </c>
      <c r="D62" s="79" t="s">
        <v>156</v>
      </c>
      <c r="E62" s="47" t="s">
        <v>1044</v>
      </c>
      <c r="F62" s="35" t="s">
        <v>155</v>
      </c>
      <c r="K62" s="27" t="b">
        <f>REGISTRO!F67=Hoja1!F62</f>
        <v>1</v>
      </c>
      <c r="L62">
        <v>61</v>
      </c>
    </row>
    <row r="63" spans="1:12" ht="15.75" customHeight="1" x14ac:dyDescent="0.25">
      <c r="A63" s="27" t="s">
        <v>17</v>
      </c>
      <c r="B63" s="28"/>
      <c r="C63" s="79" t="s">
        <v>155</v>
      </c>
      <c r="D63" s="79">
        <v>62210118</v>
      </c>
      <c r="E63" s="47" t="s">
        <v>531</v>
      </c>
      <c r="F63" s="30" t="s">
        <v>155</v>
      </c>
      <c r="K63" s="27" t="b">
        <f>REGISTRO!F68=Hoja1!F63</f>
        <v>1</v>
      </c>
      <c r="L63">
        <v>62</v>
      </c>
    </row>
    <row r="64" spans="1:12" ht="15.75" customHeight="1" x14ac:dyDescent="0.25">
      <c r="A64" s="27" t="s">
        <v>17</v>
      </c>
      <c r="B64" s="28"/>
      <c r="C64" s="79" t="s">
        <v>155</v>
      </c>
      <c r="D64" s="79" t="s">
        <v>160</v>
      </c>
      <c r="E64" s="47" t="s">
        <v>532</v>
      </c>
      <c r="F64" s="35" t="s">
        <v>155</v>
      </c>
      <c r="K64" s="27" t="b">
        <f>REGISTRO!F69=Hoja1!F64</f>
        <v>1</v>
      </c>
      <c r="L64">
        <v>63</v>
      </c>
    </row>
    <row r="65" spans="1:12" ht="15.75" customHeight="1" x14ac:dyDescent="0.25">
      <c r="A65" s="27" t="s">
        <v>17</v>
      </c>
      <c r="B65" s="28"/>
      <c r="C65" s="79" t="s">
        <v>155</v>
      </c>
      <c r="D65" s="79">
        <v>10510101</v>
      </c>
      <c r="E65" s="47" t="s">
        <v>533</v>
      </c>
      <c r="F65" s="30" t="s">
        <v>155</v>
      </c>
      <c r="K65" s="27" t="b">
        <f>REGISTRO!F70=Hoja1!F65</f>
        <v>1</v>
      </c>
      <c r="L65">
        <v>64</v>
      </c>
    </row>
    <row r="66" spans="1:12" ht="15.75" customHeight="1" x14ac:dyDescent="0.25">
      <c r="A66" s="27" t="s">
        <v>17</v>
      </c>
      <c r="B66" s="28"/>
      <c r="C66" s="79" t="s">
        <v>155</v>
      </c>
      <c r="D66" s="79" t="s">
        <v>162</v>
      </c>
      <c r="E66" s="47" t="s">
        <v>534</v>
      </c>
      <c r="F66" s="30" t="s">
        <v>155</v>
      </c>
      <c r="K66" s="27" t="b">
        <f>REGISTRO!F71=Hoja1!F66</f>
        <v>1</v>
      </c>
      <c r="L66">
        <v>65</v>
      </c>
    </row>
    <row r="67" spans="1:12" ht="15.75" customHeight="1" x14ac:dyDescent="0.25">
      <c r="A67" s="27" t="s">
        <v>17</v>
      </c>
      <c r="B67" s="28"/>
      <c r="C67" s="79" t="s">
        <v>155</v>
      </c>
      <c r="D67" s="79" t="s">
        <v>535</v>
      </c>
      <c r="E67" s="47" t="s">
        <v>536</v>
      </c>
      <c r="F67" s="30" t="s">
        <v>155</v>
      </c>
      <c r="K67" s="27" t="b">
        <f>REGISTRO!F72=Hoja1!F67</f>
        <v>1</v>
      </c>
      <c r="L67">
        <v>66</v>
      </c>
    </row>
    <row r="68" spans="1:12" ht="15.75" customHeight="1" x14ac:dyDescent="0.25">
      <c r="A68" s="27" t="s">
        <v>17</v>
      </c>
      <c r="B68" s="28"/>
      <c r="C68" s="79" t="s">
        <v>166</v>
      </c>
      <c r="D68" s="79">
        <v>65560064</v>
      </c>
      <c r="E68" s="77" t="s">
        <v>537</v>
      </c>
      <c r="F68" s="30" t="s">
        <v>166</v>
      </c>
      <c r="K68" s="27" t="b">
        <f>REGISTRO!F73=Hoja1!F68</f>
        <v>1</v>
      </c>
      <c r="L68">
        <v>67</v>
      </c>
    </row>
    <row r="69" spans="1:12" ht="15.75" customHeight="1" x14ac:dyDescent="0.25">
      <c r="A69" s="27" t="s">
        <v>17</v>
      </c>
      <c r="B69" s="28"/>
      <c r="C69" s="79" t="s">
        <v>168</v>
      </c>
      <c r="D69" s="79">
        <v>93620040</v>
      </c>
      <c r="E69" s="77" t="s">
        <v>538</v>
      </c>
      <c r="F69" s="30" t="s">
        <v>168</v>
      </c>
      <c r="K69" s="27" t="b">
        <f>REGISTRO!F74=Hoja1!F69</f>
        <v>1</v>
      </c>
      <c r="L69">
        <v>68</v>
      </c>
    </row>
    <row r="70" spans="1:12" ht="15.75" customHeight="1" x14ac:dyDescent="0.25">
      <c r="A70" s="27" t="s">
        <v>17</v>
      </c>
      <c r="B70" s="28"/>
      <c r="C70" s="79" t="s">
        <v>170</v>
      </c>
      <c r="D70" s="79"/>
      <c r="E70" s="77" t="s">
        <v>718</v>
      </c>
      <c r="F70" s="30" t="s">
        <v>170</v>
      </c>
      <c r="K70" s="27" t="b">
        <f>REGISTRO!F75=Hoja1!F70</f>
        <v>1</v>
      </c>
      <c r="L70">
        <v>69</v>
      </c>
    </row>
    <row r="71" spans="1:12" ht="15.75" customHeight="1" x14ac:dyDescent="0.25">
      <c r="A71" s="27" t="s">
        <v>17</v>
      </c>
      <c r="B71" s="28" t="s">
        <v>172</v>
      </c>
      <c r="C71" s="79" t="s">
        <v>173</v>
      </c>
      <c r="D71" s="45"/>
      <c r="E71" s="92" t="s">
        <v>801</v>
      </c>
      <c r="F71" s="36" t="s">
        <v>173</v>
      </c>
      <c r="K71" s="27" t="b">
        <f>REGISTRO!F76=Hoja1!F71</f>
        <v>1</v>
      </c>
      <c r="L71">
        <v>70</v>
      </c>
    </row>
    <row r="72" spans="1:12" ht="15.75" customHeight="1" x14ac:dyDescent="0.25">
      <c r="A72" s="27" t="s">
        <v>17</v>
      </c>
      <c r="B72" s="28" t="s">
        <v>176</v>
      </c>
      <c r="C72" s="79" t="s">
        <v>177</v>
      </c>
      <c r="D72" s="79" t="s">
        <v>178</v>
      </c>
      <c r="E72" s="92" t="s">
        <v>800</v>
      </c>
      <c r="F72" s="78" t="s">
        <v>177</v>
      </c>
      <c r="K72" s="27" t="b">
        <f>REGISTRO!F77=Hoja1!F72</f>
        <v>1</v>
      </c>
      <c r="L72">
        <v>71</v>
      </c>
    </row>
    <row r="73" spans="1:12" ht="15.75" customHeight="1" x14ac:dyDescent="0.25">
      <c r="A73" s="27" t="s">
        <v>17</v>
      </c>
      <c r="B73" s="28"/>
      <c r="C73" s="79" t="s">
        <v>182</v>
      </c>
      <c r="D73" s="79">
        <v>14960110</v>
      </c>
      <c r="E73" s="77" t="s">
        <v>1042</v>
      </c>
      <c r="F73" s="76" t="s">
        <v>182</v>
      </c>
      <c r="K73" s="27" t="b">
        <f>REGISTRO!F78=Hoja1!F73</f>
        <v>1</v>
      </c>
      <c r="L73">
        <v>72</v>
      </c>
    </row>
    <row r="74" spans="1:12" ht="15.75" customHeight="1" x14ac:dyDescent="0.25">
      <c r="A74" s="27" t="s">
        <v>17</v>
      </c>
      <c r="B74" s="28"/>
      <c r="C74" s="79" t="s">
        <v>182</v>
      </c>
      <c r="D74" s="79" t="s">
        <v>186</v>
      </c>
      <c r="E74" s="81" t="s">
        <v>539</v>
      </c>
      <c r="F74" s="30" t="s">
        <v>182</v>
      </c>
      <c r="K74" s="27" t="b">
        <f>REGISTRO!F79=Hoja1!F74</f>
        <v>1</v>
      </c>
      <c r="L74">
        <v>73</v>
      </c>
    </row>
    <row r="75" spans="1:12" ht="15.75" customHeight="1" x14ac:dyDescent="0.25">
      <c r="A75" s="27" t="s">
        <v>17</v>
      </c>
      <c r="B75" s="28"/>
      <c r="C75" s="79" t="s">
        <v>182</v>
      </c>
      <c r="D75" s="79" t="s">
        <v>187</v>
      </c>
      <c r="E75" s="77" t="s">
        <v>540</v>
      </c>
      <c r="F75" s="30" t="s">
        <v>182</v>
      </c>
      <c r="K75" s="27" t="b">
        <f>REGISTRO!F80=Hoja1!F75</f>
        <v>1</v>
      </c>
      <c r="L75">
        <v>74</v>
      </c>
    </row>
    <row r="76" spans="1:12" ht="15.75" customHeight="1" x14ac:dyDescent="0.25">
      <c r="A76" s="27" t="s">
        <v>17</v>
      </c>
      <c r="B76" s="28"/>
      <c r="C76" s="79" t="s">
        <v>182</v>
      </c>
      <c r="D76" s="79">
        <v>62500107</v>
      </c>
      <c r="E76" s="77" t="s">
        <v>541</v>
      </c>
      <c r="F76" s="75" t="s">
        <v>182</v>
      </c>
      <c r="K76" s="27" t="b">
        <f>REGISTRO!F81=Hoja1!F76</f>
        <v>1</v>
      </c>
      <c r="L76">
        <v>75</v>
      </c>
    </row>
    <row r="77" spans="1:12" ht="15.75" customHeight="1" x14ac:dyDescent="0.25">
      <c r="A77" s="27" t="s">
        <v>17</v>
      </c>
      <c r="B77" s="28"/>
      <c r="C77" s="79" t="s">
        <v>182</v>
      </c>
      <c r="D77" s="79" t="s">
        <v>190</v>
      </c>
      <c r="E77" s="93" t="s">
        <v>1049</v>
      </c>
      <c r="F77" s="30" t="s">
        <v>182</v>
      </c>
      <c r="K77" s="27" t="b">
        <f>REGISTRO!F82=Hoja1!F77</f>
        <v>1</v>
      </c>
      <c r="L77">
        <v>76</v>
      </c>
    </row>
    <row r="78" spans="1:12" ht="15.75" customHeight="1" x14ac:dyDescent="0.25">
      <c r="A78" s="27" t="s">
        <v>17</v>
      </c>
      <c r="B78" s="28"/>
      <c r="C78" s="79" t="s">
        <v>182</v>
      </c>
      <c r="D78" s="79">
        <v>66700001</v>
      </c>
      <c r="E78" s="77" t="s">
        <v>719</v>
      </c>
      <c r="F78" s="30" t="s">
        <v>182</v>
      </c>
      <c r="K78" s="27" t="b">
        <f>REGISTRO!F83=Hoja1!F78</f>
        <v>1</v>
      </c>
      <c r="L78">
        <v>77</v>
      </c>
    </row>
    <row r="79" spans="1:12" ht="15.75" customHeight="1" x14ac:dyDescent="0.25">
      <c r="A79" s="27" t="s">
        <v>17</v>
      </c>
      <c r="B79" s="28"/>
      <c r="C79" s="79" t="s">
        <v>182</v>
      </c>
      <c r="D79" s="79" t="s">
        <v>192</v>
      </c>
      <c r="E79" s="48" t="s">
        <v>542</v>
      </c>
      <c r="F79" s="30" t="s">
        <v>182</v>
      </c>
      <c r="K79" s="27" t="b">
        <f>REGISTRO!F84=Hoja1!F79</f>
        <v>1</v>
      </c>
      <c r="L79">
        <v>78</v>
      </c>
    </row>
    <row r="80" spans="1:12" ht="15.75" customHeight="1" x14ac:dyDescent="0.25">
      <c r="A80" s="27" t="s">
        <v>17</v>
      </c>
      <c r="B80" s="28"/>
      <c r="C80" s="79" t="s">
        <v>182</v>
      </c>
      <c r="D80" s="79" t="s">
        <v>194</v>
      </c>
      <c r="E80" s="129" t="s">
        <v>543</v>
      </c>
      <c r="F80" s="30" t="s">
        <v>182</v>
      </c>
      <c r="K80" s="27" t="b">
        <f>REGISTRO!F85=Hoja1!F80</f>
        <v>1</v>
      </c>
      <c r="L80">
        <v>79</v>
      </c>
    </row>
    <row r="81" spans="1:12" ht="15.75" customHeight="1" x14ac:dyDescent="0.25">
      <c r="A81" s="27" t="s">
        <v>17</v>
      </c>
      <c r="B81" s="28"/>
      <c r="C81" s="79" t="s">
        <v>182</v>
      </c>
      <c r="D81" s="79">
        <v>1308640099</v>
      </c>
      <c r="E81" s="47" t="s">
        <v>544</v>
      </c>
      <c r="F81" s="30" t="s">
        <v>182</v>
      </c>
      <c r="K81" s="27" t="b">
        <f>REGISTRO!F86=Hoja1!F81</f>
        <v>1</v>
      </c>
      <c r="L81">
        <v>80</v>
      </c>
    </row>
    <row r="82" spans="1:12" ht="15.75" customHeight="1" x14ac:dyDescent="0.25">
      <c r="A82" s="27" t="s">
        <v>17</v>
      </c>
      <c r="B82" s="28"/>
      <c r="C82" s="79" t="s">
        <v>182</v>
      </c>
      <c r="D82" s="79" t="s">
        <v>196</v>
      </c>
      <c r="E82" s="47" t="s">
        <v>545</v>
      </c>
      <c r="F82" s="30" t="s">
        <v>182</v>
      </c>
      <c r="K82" s="27" t="b">
        <f>REGISTRO!F87=Hoja1!F82</f>
        <v>1</v>
      </c>
      <c r="L82">
        <v>81</v>
      </c>
    </row>
    <row r="83" spans="1:12" ht="15.75" customHeight="1" x14ac:dyDescent="0.25">
      <c r="A83" s="27" t="s">
        <v>17</v>
      </c>
      <c r="B83" s="28"/>
      <c r="C83" s="79" t="s">
        <v>182</v>
      </c>
      <c r="D83" s="79" t="s">
        <v>199</v>
      </c>
      <c r="E83" s="47" t="s">
        <v>546</v>
      </c>
      <c r="F83" s="30" t="s">
        <v>182</v>
      </c>
      <c r="K83" s="27" t="b">
        <f>REGISTRO!F88=Hoja1!F83</f>
        <v>1</v>
      </c>
      <c r="L83">
        <v>82</v>
      </c>
    </row>
    <row r="84" spans="1:12" ht="15.75" customHeight="1" x14ac:dyDescent="0.25">
      <c r="A84" s="27" t="s">
        <v>17</v>
      </c>
      <c r="B84" s="28"/>
      <c r="C84" s="79" t="s">
        <v>182</v>
      </c>
      <c r="D84" s="79" t="s">
        <v>645</v>
      </c>
      <c r="E84" s="94" t="s">
        <v>720</v>
      </c>
      <c r="F84" s="30" t="s">
        <v>182</v>
      </c>
      <c r="K84" s="27" t="b">
        <f>REGISTRO!F89=Hoja1!F84</f>
        <v>1</v>
      </c>
      <c r="L84">
        <v>83</v>
      </c>
    </row>
    <row r="85" spans="1:12" ht="15.75" customHeight="1" x14ac:dyDescent="0.25">
      <c r="A85" s="27" t="s">
        <v>17</v>
      </c>
      <c r="B85" s="28"/>
      <c r="C85" s="79" t="s">
        <v>182</v>
      </c>
      <c r="D85" s="79" t="s">
        <v>196</v>
      </c>
      <c r="E85" s="85" t="s">
        <v>1077</v>
      </c>
      <c r="F85" s="30" t="s">
        <v>182</v>
      </c>
      <c r="K85" s="27" t="b">
        <f>REGISTRO!F90=Hoja1!F85</f>
        <v>1</v>
      </c>
      <c r="L85">
        <v>84</v>
      </c>
    </row>
    <row r="86" spans="1:12" ht="15.75" customHeight="1" x14ac:dyDescent="0.25">
      <c r="A86" s="27" t="s">
        <v>17</v>
      </c>
      <c r="B86" s="28" t="s">
        <v>590</v>
      </c>
      <c r="C86" s="28" t="s">
        <v>205</v>
      </c>
      <c r="D86" s="28"/>
      <c r="E86" s="95" t="s">
        <v>633</v>
      </c>
      <c r="F86" s="30" t="s">
        <v>205</v>
      </c>
      <c r="K86" s="27" t="b">
        <f>REGISTRO!F91=Hoja1!F86</f>
        <v>1</v>
      </c>
      <c r="L86">
        <v>85</v>
      </c>
    </row>
    <row r="87" spans="1:12" ht="15.75" customHeight="1" x14ac:dyDescent="0.25">
      <c r="A87" s="27" t="s">
        <v>17</v>
      </c>
      <c r="B87" s="28" t="s">
        <v>591</v>
      </c>
      <c r="C87" s="28" t="s">
        <v>205</v>
      </c>
      <c r="D87" s="28"/>
      <c r="E87" s="47" t="s">
        <v>634</v>
      </c>
      <c r="F87" s="30" t="s">
        <v>205</v>
      </c>
      <c r="K87" s="27" t="b">
        <f>REGISTRO!F92=Hoja1!F87</f>
        <v>1</v>
      </c>
      <c r="L87">
        <v>86</v>
      </c>
    </row>
    <row r="88" spans="1:12" ht="15.75" customHeight="1" x14ac:dyDescent="0.25">
      <c r="A88" s="27" t="s">
        <v>17</v>
      </c>
      <c r="B88" s="28" t="s">
        <v>592</v>
      </c>
      <c r="C88" s="28" t="s">
        <v>202</v>
      </c>
      <c r="D88" s="28" t="s">
        <v>206</v>
      </c>
      <c r="E88" s="47" t="s">
        <v>1090</v>
      </c>
      <c r="F88" s="30" t="s">
        <v>202</v>
      </c>
      <c r="K88" s="27" t="b">
        <f>REGISTRO!F93=Hoja1!F88</f>
        <v>1</v>
      </c>
      <c r="L88">
        <v>87</v>
      </c>
    </row>
    <row r="89" spans="1:12" ht="15.75" customHeight="1" x14ac:dyDescent="0.25">
      <c r="A89" s="27" t="s">
        <v>17</v>
      </c>
      <c r="B89" s="28" t="s">
        <v>593</v>
      </c>
      <c r="C89" s="28" t="s">
        <v>202</v>
      </c>
      <c r="D89" s="28" t="s">
        <v>206</v>
      </c>
      <c r="E89" s="47" t="s">
        <v>1091</v>
      </c>
      <c r="F89" s="30" t="s">
        <v>202</v>
      </c>
      <c r="K89" s="27" t="b">
        <f>REGISTRO!F94=Hoja1!F89</f>
        <v>1</v>
      </c>
      <c r="L89">
        <v>88</v>
      </c>
    </row>
    <row r="90" spans="1:12" ht="15.75" customHeight="1" x14ac:dyDescent="0.25">
      <c r="A90" s="27" t="s">
        <v>17</v>
      </c>
      <c r="B90" s="28" t="s">
        <v>594</v>
      </c>
      <c r="C90" s="28" t="s">
        <v>202</v>
      </c>
      <c r="D90" s="28">
        <v>15071057</v>
      </c>
      <c r="E90" s="47" t="s">
        <v>635</v>
      </c>
      <c r="F90" s="30" t="s">
        <v>202</v>
      </c>
      <c r="K90" s="27" t="b">
        <f>REGISTRO!F95=Hoja1!F90</f>
        <v>1</v>
      </c>
      <c r="L90">
        <v>89</v>
      </c>
    </row>
    <row r="91" spans="1:12" ht="15.75" customHeight="1" x14ac:dyDescent="0.25">
      <c r="A91" s="27" t="s">
        <v>17</v>
      </c>
      <c r="B91" s="28" t="s">
        <v>595</v>
      </c>
      <c r="C91" s="28" t="s">
        <v>202</v>
      </c>
      <c r="D91" s="28" t="s">
        <v>206</v>
      </c>
      <c r="E91" s="80" t="s">
        <v>1092</v>
      </c>
      <c r="F91" s="30" t="s">
        <v>202</v>
      </c>
      <c r="K91" s="27" t="b">
        <f>REGISTRO!F96=Hoja1!F91</f>
        <v>1</v>
      </c>
      <c r="L91">
        <v>90</v>
      </c>
    </row>
    <row r="92" spans="1:12" ht="15.75" customHeight="1" x14ac:dyDescent="0.25">
      <c r="A92" s="27" t="s">
        <v>17</v>
      </c>
      <c r="B92" s="28" t="s">
        <v>1157</v>
      </c>
      <c r="C92" s="28" t="s">
        <v>202</v>
      </c>
      <c r="D92" s="28"/>
      <c r="E92" s="80" t="s">
        <v>1191</v>
      </c>
      <c r="F92" s="36" t="s">
        <v>202</v>
      </c>
      <c r="K92" s="27" t="b">
        <f>REGISTRO!F97=Hoja1!F92</f>
        <v>1</v>
      </c>
      <c r="L92">
        <v>91</v>
      </c>
    </row>
    <row r="93" spans="1:12" ht="15.75" customHeight="1" x14ac:dyDescent="0.25">
      <c r="A93" s="27" t="s">
        <v>17</v>
      </c>
      <c r="B93" s="28" t="s">
        <v>702</v>
      </c>
      <c r="C93" s="28" t="s">
        <v>209</v>
      </c>
      <c r="D93" s="28" t="s">
        <v>210</v>
      </c>
      <c r="E93" s="80" t="s">
        <v>548</v>
      </c>
      <c r="F93" s="30" t="s">
        <v>209</v>
      </c>
      <c r="K93" s="27" t="b">
        <f>REGISTRO!F98=Hoja1!F93</f>
        <v>1</v>
      </c>
      <c r="L93">
        <v>92</v>
      </c>
    </row>
    <row r="94" spans="1:12" ht="15.75" customHeight="1" x14ac:dyDescent="0.25">
      <c r="A94" s="27" t="s">
        <v>17</v>
      </c>
      <c r="B94" s="28" t="s">
        <v>703</v>
      </c>
      <c r="C94" s="28" t="s">
        <v>209</v>
      </c>
      <c r="D94" s="28" t="s">
        <v>213</v>
      </c>
      <c r="E94" s="80" t="s">
        <v>549</v>
      </c>
      <c r="F94" s="30" t="s">
        <v>209</v>
      </c>
      <c r="K94" s="27" t="b">
        <f>REGISTRO!F99=Hoja1!F94</f>
        <v>1</v>
      </c>
      <c r="L94">
        <v>93</v>
      </c>
    </row>
    <row r="95" spans="1:12" ht="15.75" customHeight="1" x14ac:dyDescent="0.25">
      <c r="A95" s="27" t="s">
        <v>17</v>
      </c>
      <c r="B95" s="28" t="s">
        <v>704</v>
      </c>
      <c r="C95" s="28" t="s">
        <v>209</v>
      </c>
      <c r="D95" s="28" t="s">
        <v>216</v>
      </c>
      <c r="E95" s="81" t="s">
        <v>550</v>
      </c>
      <c r="F95" s="30" t="s">
        <v>209</v>
      </c>
      <c r="K95" s="27" t="b">
        <f>REGISTRO!F100=Hoja1!F95</f>
        <v>1</v>
      </c>
      <c r="L95">
        <v>94</v>
      </c>
    </row>
    <row r="96" spans="1:12" ht="15.75" customHeight="1" x14ac:dyDescent="0.25">
      <c r="A96" s="27" t="s">
        <v>17</v>
      </c>
      <c r="B96" s="28" t="s">
        <v>1037</v>
      </c>
      <c r="C96" s="28" t="s">
        <v>205</v>
      </c>
      <c r="D96" s="28">
        <v>5329</v>
      </c>
      <c r="E96" s="77" t="s">
        <v>1093</v>
      </c>
      <c r="F96" s="30" t="s">
        <v>205</v>
      </c>
      <c r="K96" s="27" t="b">
        <f>REGISTRO!F101=Hoja1!F96</f>
        <v>1</v>
      </c>
      <c r="L96">
        <v>95</v>
      </c>
    </row>
    <row r="97" spans="1:12" ht="15.75" customHeight="1" x14ac:dyDescent="0.25">
      <c r="A97" s="27" t="s">
        <v>17</v>
      </c>
      <c r="B97" s="28" t="s">
        <v>1355</v>
      </c>
      <c r="C97" s="28" t="s">
        <v>202</v>
      </c>
      <c r="D97" s="28" t="s">
        <v>206</v>
      </c>
      <c r="E97" s="97" t="s">
        <v>1361</v>
      </c>
      <c r="F97" s="30" t="s">
        <v>202</v>
      </c>
      <c r="K97" s="27" t="b">
        <f>REGISTRO!F102=Hoja1!F97</f>
        <v>1</v>
      </c>
      <c r="L97">
        <v>96</v>
      </c>
    </row>
    <row r="98" spans="1:12" ht="15.75" customHeight="1" x14ac:dyDescent="0.25">
      <c r="A98" s="27" t="s">
        <v>17</v>
      </c>
      <c r="B98" s="28" t="s">
        <v>1360</v>
      </c>
      <c r="C98" s="28" t="s">
        <v>202</v>
      </c>
      <c r="D98" s="28" t="s">
        <v>206</v>
      </c>
      <c r="E98" s="97" t="s">
        <v>1362</v>
      </c>
      <c r="F98" s="30" t="s">
        <v>202</v>
      </c>
      <c r="K98" s="27" t="b">
        <f>REGISTRO!F103=Hoja1!F98</f>
        <v>1</v>
      </c>
      <c r="L98">
        <v>97</v>
      </c>
    </row>
    <row r="99" spans="1:12" ht="15.75" customHeight="1" x14ac:dyDescent="0.25">
      <c r="A99" s="27" t="s">
        <v>17</v>
      </c>
      <c r="B99" s="28" t="s">
        <v>201</v>
      </c>
      <c r="C99" s="28" t="s">
        <v>202</v>
      </c>
      <c r="D99" s="28">
        <v>5309</v>
      </c>
      <c r="E99" s="77" t="s">
        <v>547</v>
      </c>
      <c r="F99" s="30" t="s">
        <v>202</v>
      </c>
      <c r="K99" s="27" t="b">
        <f>REGISTRO!F104=Hoja1!F99</f>
        <v>1</v>
      </c>
      <c r="L99">
        <v>98</v>
      </c>
    </row>
    <row r="100" spans="1:12" ht="15.75" customHeight="1" x14ac:dyDescent="0.25">
      <c r="A100" s="27" t="s">
        <v>17</v>
      </c>
      <c r="B100" s="28"/>
      <c r="C100" s="28" t="s">
        <v>217</v>
      </c>
      <c r="D100" s="28" t="s">
        <v>218</v>
      </c>
      <c r="E100" s="81" t="s">
        <v>551</v>
      </c>
      <c r="F100" s="30" t="s">
        <v>217</v>
      </c>
      <c r="K100" s="27" t="b">
        <f>REGISTRO!F105=Hoja1!F100</f>
        <v>1</v>
      </c>
      <c r="L100">
        <v>99</v>
      </c>
    </row>
    <row r="101" spans="1:12" ht="15.75" customHeight="1" x14ac:dyDescent="0.25">
      <c r="A101" s="27" t="s">
        <v>17</v>
      </c>
      <c r="B101" s="28"/>
      <c r="C101" s="28" t="s">
        <v>217</v>
      </c>
      <c r="D101" s="28" t="s">
        <v>221</v>
      </c>
      <c r="E101" s="77" t="s">
        <v>552</v>
      </c>
      <c r="F101" s="30" t="s">
        <v>217</v>
      </c>
      <c r="K101" s="27" t="b">
        <f>REGISTRO!F106=Hoja1!F101</f>
        <v>1</v>
      </c>
      <c r="L101">
        <v>100</v>
      </c>
    </row>
    <row r="102" spans="1:12" ht="15.75" customHeight="1" x14ac:dyDescent="0.25">
      <c r="A102" s="27" t="s">
        <v>17</v>
      </c>
      <c r="B102" s="28"/>
      <c r="C102" s="28" t="s">
        <v>217</v>
      </c>
      <c r="D102" s="28" t="s">
        <v>223</v>
      </c>
      <c r="E102" s="77" t="s">
        <v>553</v>
      </c>
      <c r="F102" s="30" t="s">
        <v>217</v>
      </c>
      <c r="K102" s="27" t="b">
        <f>REGISTRO!F107=Hoja1!F102</f>
        <v>1</v>
      </c>
      <c r="L102">
        <v>101</v>
      </c>
    </row>
    <row r="103" spans="1:12" ht="15.75" customHeight="1" x14ac:dyDescent="0.25">
      <c r="A103" s="27" t="s">
        <v>17</v>
      </c>
      <c r="B103" s="28"/>
      <c r="C103" s="28" t="s">
        <v>225</v>
      </c>
      <c r="D103" s="28" t="s">
        <v>226</v>
      </c>
      <c r="E103" s="77" t="s">
        <v>1145</v>
      </c>
      <c r="F103" s="30" t="s">
        <v>225</v>
      </c>
      <c r="K103" s="27" t="b">
        <f>REGISTRO!F108=Hoja1!F103</f>
        <v>1</v>
      </c>
      <c r="L103">
        <v>102</v>
      </c>
    </row>
    <row r="104" spans="1:12" ht="15.75" customHeight="1" x14ac:dyDescent="0.25">
      <c r="A104" s="27" t="s">
        <v>17</v>
      </c>
      <c r="B104" s="28"/>
      <c r="C104" s="28" t="s">
        <v>229</v>
      </c>
      <c r="D104" s="28">
        <v>1100778043</v>
      </c>
      <c r="E104" s="77" t="s">
        <v>554</v>
      </c>
      <c r="F104" s="30" t="s">
        <v>229</v>
      </c>
      <c r="K104" s="27" t="b">
        <f>REGISTRO!F109=Hoja1!F104</f>
        <v>1</v>
      </c>
      <c r="L104">
        <v>103</v>
      </c>
    </row>
    <row r="105" spans="1:12" ht="15.75" customHeight="1" x14ac:dyDescent="0.25">
      <c r="A105" s="27" t="s">
        <v>17</v>
      </c>
      <c r="B105" s="28"/>
      <c r="C105" s="28" t="s">
        <v>233</v>
      </c>
      <c r="D105" s="28" t="s">
        <v>206</v>
      </c>
      <c r="E105" s="77" t="s">
        <v>717</v>
      </c>
      <c r="F105" s="30" t="s">
        <v>233</v>
      </c>
      <c r="K105" s="27" t="b">
        <f>REGISTRO!F110=Hoja1!F105</f>
        <v>1</v>
      </c>
      <c r="L105">
        <v>104</v>
      </c>
    </row>
    <row r="106" spans="1:12" ht="15.75" customHeight="1" x14ac:dyDescent="0.25">
      <c r="A106" s="27" t="s">
        <v>17</v>
      </c>
      <c r="B106" s="28"/>
      <c r="C106" s="28" t="s">
        <v>233</v>
      </c>
      <c r="D106" s="28" t="s">
        <v>1170</v>
      </c>
      <c r="E106" s="97" t="s">
        <v>1180</v>
      </c>
      <c r="F106" s="36" t="s">
        <v>233</v>
      </c>
      <c r="K106" s="27" t="b">
        <f>REGISTRO!F111=Hoja1!F106</f>
        <v>1</v>
      </c>
      <c r="L106">
        <v>105</v>
      </c>
    </row>
    <row r="107" spans="1:12" ht="15.75" customHeight="1" x14ac:dyDescent="0.25">
      <c r="A107" s="27" t="s">
        <v>17</v>
      </c>
      <c r="B107" s="28"/>
      <c r="C107" s="28" t="s">
        <v>233</v>
      </c>
      <c r="D107" s="28" t="s">
        <v>1169</v>
      </c>
      <c r="E107" s="97" t="s">
        <v>1181</v>
      </c>
      <c r="F107" s="36" t="s">
        <v>233</v>
      </c>
      <c r="K107" s="27" t="b">
        <f>REGISTRO!F112=Hoja1!F107</f>
        <v>1</v>
      </c>
      <c r="L107">
        <v>106</v>
      </c>
    </row>
    <row r="108" spans="1:12" ht="15.75" customHeight="1" x14ac:dyDescent="0.25">
      <c r="A108" s="27" t="s">
        <v>17</v>
      </c>
      <c r="B108" s="28"/>
      <c r="C108" s="28" t="s">
        <v>233</v>
      </c>
      <c r="D108" s="28" t="s">
        <v>1168</v>
      </c>
      <c r="E108" s="97" t="s">
        <v>1182</v>
      </c>
      <c r="F108" s="36" t="s">
        <v>233</v>
      </c>
      <c r="K108" s="27" t="b">
        <f>REGISTRO!F113=Hoja1!F108</f>
        <v>1</v>
      </c>
      <c r="L108">
        <v>107</v>
      </c>
    </row>
    <row r="109" spans="1:12" ht="15.75" customHeight="1" x14ac:dyDescent="0.25">
      <c r="A109" s="27" t="s">
        <v>17</v>
      </c>
      <c r="B109" s="28"/>
      <c r="C109" s="28" t="s">
        <v>233</v>
      </c>
      <c r="D109" s="79" t="s">
        <v>1167</v>
      </c>
      <c r="E109" s="97" t="s">
        <v>1183</v>
      </c>
      <c r="F109" s="36" t="s">
        <v>233</v>
      </c>
      <c r="K109" s="27" t="b">
        <f>REGISTRO!F114=Hoja1!F109</f>
        <v>1</v>
      </c>
      <c r="L109">
        <v>108</v>
      </c>
    </row>
    <row r="110" spans="1:12" ht="15.75" customHeight="1" x14ac:dyDescent="0.25">
      <c r="A110" s="27" t="s">
        <v>17</v>
      </c>
      <c r="B110" s="28"/>
      <c r="C110" s="28" t="s">
        <v>237</v>
      </c>
      <c r="D110" s="28" t="s">
        <v>1165</v>
      </c>
      <c r="E110" s="97" t="s">
        <v>1185</v>
      </c>
      <c r="F110" s="36" t="s">
        <v>237</v>
      </c>
      <c r="K110" s="27" t="b">
        <f>REGISTRO!F115=Hoja1!F110</f>
        <v>1</v>
      </c>
      <c r="L110">
        <v>109</v>
      </c>
    </row>
    <row r="111" spans="1:12" ht="15.75" customHeight="1" x14ac:dyDescent="0.25">
      <c r="A111" s="27" t="s">
        <v>17</v>
      </c>
      <c r="B111" s="28"/>
      <c r="C111" s="28" t="s">
        <v>237</v>
      </c>
      <c r="D111" s="28">
        <v>353992301</v>
      </c>
      <c r="E111" s="45" t="s">
        <v>1374</v>
      </c>
      <c r="F111" s="30" t="s">
        <v>237</v>
      </c>
      <c r="K111" s="27" t="b">
        <f>REGISTRO!F116=Hoja1!F111</f>
        <v>1</v>
      </c>
      <c r="L111">
        <v>110</v>
      </c>
    </row>
    <row r="112" spans="1:12" ht="15.75" customHeight="1" x14ac:dyDescent="0.25">
      <c r="A112" s="27" t="s">
        <v>17</v>
      </c>
      <c r="B112" s="28"/>
      <c r="C112" s="28" t="s">
        <v>1162</v>
      </c>
      <c r="D112" s="28" t="s">
        <v>1166</v>
      </c>
      <c r="E112" s="97" t="s">
        <v>1184</v>
      </c>
      <c r="F112" s="36" t="s">
        <v>1162</v>
      </c>
      <c r="K112" s="27" t="b">
        <f>REGISTRO!F117=Hoja1!F112</f>
        <v>1</v>
      </c>
      <c r="L112">
        <v>111</v>
      </c>
    </row>
    <row r="113" spans="1:12" ht="15.75" customHeight="1" x14ac:dyDescent="0.25">
      <c r="A113" s="27" t="s">
        <v>18</v>
      </c>
      <c r="B113" s="28">
        <v>6789</v>
      </c>
      <c r="C113" s="28" t="s">
        <v>240</v>
      </c>
      <c r="D113" s="28" t="s">
        <v>206</v>
      </c>
      <c r="E113" s="97" t="s">
        <v>1375</v>
      </c>
      <c r="F113" s="36" t="s">
        <v>240</v>
      </c>
      <c r="K113" s="27" t="b">
        <f>REGISTRO!F118=Hoja1!F113</f>
        <v>1</v>
      </c>
      <c r="L113">
        <v>112</v>
      </c>
    </row>
    <row r="114" spans="1:12" ht="15.75" customHeight="1" x14ac:dyDescent="0.25">
      <c r="A114" s="27" t="s">
        <v>17</v>
      </c>
      <c r="B114" s="28"/>
      <c r="C114" s="28" t="s">
        <v>242</v>
      </c>
      <c r="D114" s="141" t="s">
        <v>705</v>
      </c>
      <c r="E114" s="77" t="s">
        <v>555</v>
      </c>
      <c r="F114" s="30" t="s">
        <v>242</v>
      </c>
      <c r="K114" s="27" t="b">
        <f>REGISTRO!F119=Hoja1!F114</f>
        <v>1</v>
      </c>
      <c r="L114">
        <v>113</v>
      </c>
    </row>
    <row r="115" spans="1:12" ht="15.75" customHeight="1" x14ac:dyDescent="0.25">
      <c r="A115" s="27" t="s">
        <v>17</v>
      </c>
      <c r="B115" s="28"/>
      <c r="C115" s="28" t="s">
        <v>242</v>
      </c>
      <c r="D115" s="28" t="s">
        <v>1163</v>
      </c>
      <c r="E115" s="97" t="s">
        <v>1186</v>
      </c>
      <c r="F115" s="36" t="s">
        <v>242</v>
      </c>
      <c r="K115" s="27" t="b">
        <f>REGISTRO!F120=Hoja1!F115</f>
        <v>1</v>
      </c>
      <c r="L115">
        <v>114</v>
      </c>
    </row>
    <row r="116" spans="1:12" ht="15.75" customHeight="1" x14ac:dyDescent="0.25">
      <c r="A116" s="27" t="s">
        <v>17</v>
      </c>
      <c r="B116" s="28"/>
      <c r="C116" s="28" t="s">
        <v>242</v>
      </c>
      <c r="D116" s="28" t="s">
        <v>1164</v>
      </c>
      <c r="E116" s="45" t="s">
        <v>1179</v>
      </c>
      <c r="F116" s="36" t="s">
        <v>242</v>
      </c>
      <c r="K116" s="27" t="b">
        <f>REGISTRO!F121=Hoja1!F116</f>
        <v>1</v>
      </c>
      <c r="L116">
        <v>115</v>
      </c>
    </row>
    <row r="117" spans="1:12" ht="15.75" customHeight="1" x14ac:dyDescent="0.25">
      <c r="A117" s="27" t="s">
        <v>17</v>
      </c>
      <c r="B117" s="28">
        <v>6790</v>
      </c>
      <c r="C117" s="28" t="s">
        <v>242</v>
      </c>
      <c r="D117" s="28"/>
      <c r="E117" s="77" t="s">
        <v>555</v>
      </c>
      <c r="F117" s="30" t="s">
        <v>242</v>
      </c>
      <c r="K117" s="27" t="b">
        <f>REGISTRO!F122=Hoja1!F117</f>
        <v>1</v>
      </c>
      <c r="L117">
        <v>116</v>
      </c>
    </row>
    <row r="118" spans="1:12" ht="15.75" customHeight="1" x14ac:dyDescent="0.25">
      <c r="A118" s="27" t="s">
        <v>246</v>
      </c>
      <c r="B118" s="28"/>
      <c r="C118" s="28" t="s">
        <v>247</v>
      </c>
      <c r="D118" s="28" t="s">
        <v>248</v>
      </c>
      <c r="E118" s="77" t="s">
        <v>556</v>
      </c>
      <c r="F118" s="30" t="s">
        <v>247</v>
      </c>
      <c r="K118" s="27" t="b">
        <f>REGISTRO!F123=Hoja1!F118</f>
        <v>1</v>
      </c>
      <c r="L118">
        <v>117</v>
      </c>
    </row>
    <row r="119" spans="1:12" ht="15.75" customHeight="1" x14ac:dyDescent="0.25">
      <c r="A119" s="27" t="s">
        <v>246</v>
      </c>
      <c r="B119" s="28"/>
      <c r="C119" s="28" t="s">
        <v>247</v>
      </c>
      <c r="D119" s="28" t="s">
        <v>253</v>
      </c>
      <c r="E119" s="77" t="s">
        <v>556</v>
      </c>
      <c r="F119" s="30" t="s">
        <v>247</v>
      </c>
      <c r="K119" s="27" t="b">
        <f>REGISTRO!F124=Hoja1!F119</f>
        <v>1</v>
      </c>
      <c r="L119">
        <v>118</v>
      </c>
    </row>
    <row r="120" spans="1:12" ht="15.75" customHeight="1" x14ac:dyDescent="0.25">
      <c r="A120" s="27" t="s">
        <v>246</v>
      </c>
      <c r="B120" s="28"/>
      <c r="C120" s="28" t="s">
        <v>247</v>
      </c>
      <c r="D120" s="28" t="s">
        <v>254</v>
      </c>
      <c r="E120" s="47" t="s">
        <v>556</v>
      </c>
      <c r="F120" s="30" t="s">
        <v>247</v>
      </c>
      <c r="K120" s="27" t="b">
        <f>REGISTRO!F125=Hoja1!F120</f>
        <v>1</v>
      </c>
      <c r="L120">
        <v>119</v>
      </c>
    </row>
    <row r="121" spans="1:12" ht="15.75" customHeight="1" x14ac:dyDescent="0.25">
      <c r="A121" s="27" t="s">
        <v>246</v>
      </c>
      <c r="B121" s="28"/>
      <c r="C121" s="28" t="s">
        <v>247</v>
      </c>
      <c r="D121" s="28" t="s">
        <v>255</v>
      </c>
      <c r="E121" s="47" t="s">
        <v>556</v>
      </c>
      <c r="F121" s="30" t="s">
        <v>247</v>
      </c>
      <c r="K121" s="27" t="b">
        <f>REGISTRO!F126=Hoja1!F121</f>
        <v>1</v>
      </c>
      <c r="L121">
        <v>120</v>
      </c>
    </row>
    <row r="122" spans="1:12" ht="15.75" customHeight="1" x14ac:dyDescent="0.25">
      <c r="A122" s="27" t="s">
        <v>246</v>
      </c>
      <c r="B122" s="28"/>
      <c r="C122" s="28" t="s">
        <v>247</v>
      </c>
      <c r="D122" s="28" t="s">
        <v>256</v>
      </c>
      <c r="E122" s="47" t="s">
        <v>556</v>
      </c>
      <c r="F122" s="30" t="s">
        <v>247</v>
      </c>
      <c r="K122" s="27" t="b">
        <f>REGISTRO!F127=Hoja1!F122</f>
        <v>1</v>
      </c>
      <c r="L122">
        <v>121</v>
      </c>
    </row>
    <row r="123" spans="1:12" ht="15.75" customHeight="1" x14ac:dyDescent="0.25">
      <c r="A123" s="27" t="s">
        <v>246</v>
      </c>
      <c r="B123" s="28"/>
      <c r="C123" s="28" t="s">
        <v>247</v>
      </c>
      <c r="D123" s="28" t="s">
        <v>257</v>
      </c>
      <c r="E123" s="47" t="s">
        <v>556</v>
      </c>
      <c r="F123" s="30" t="s">
        <v>247</v>
      </c>
      <c r="K123" s="27" t="b">
        <f>REGISTRO!F128=Hoja1!F123</f>
        <v>1</v>
      </c>
      <c r="L123">
        <v>122</v>
      </c>
    </row>
    <row r="124" spans="1:12" ht="15.75" customHeight="1" x14ac:dyDescent="0.25">
      <c r="A124" s="27" t="s">
        <v>246</v>
      </c>
      <c r="B124" s="28"/>
      <c r="C124" s="28" t="s">
        <v>247</v>
      </c>
      <c r="D124" s="28" t="s">
        <v>258</v>
      </c>
      <c r="E124" s="47" t="s">
        <v>556</v>
      </c>
      <c r="F124" s="30" t="s">
        <v>247</v>
      </c>
      <c r="K124" s="27" t="b">
        <f>REGISTRO!F129=Hoja1!F124</f>
        <v>1</v>
      </c>
      <c r="L124">
        <v>123</v>
      </c>
    </row>
    <row r="125" spans="1:12" ht="15.75" customHeight="1" x14ac:dyDescent="0.25">
      <c r="A125" s="27" t="s">
        <v>246</v>
      </c>
      <c r="B125" s="28"/>
      <c r="C125" s="28" t="s">
        <v>247</v>
      </c>
      <c r="D125" s="28" t="s">
        <v>259</v>
      </c>
      <c r="E125" s="47" t="s">
        <v>556</v>
      </c>
      <c r="F125" s="30" t="s">
        <v>247</v>
      </c>
      <c r="K125" s="27" t="b">
        <f>REGISTRO!F130=Hoja1!F125</f>
        <v>1</v>
      </c>
      <c r="L125">
        <v>124</v>
      </c>
    </row>
    <row r="126" spans="1:12" ht="15.75" customHeight="1" x14ac:dyDescent="0.25">
      <c r="A126" s="27" t="s">
        <v>246</v>
      </c>
      <c r="B126" s="28"/>
      <c r="C126" s="28" t="s">
        <v>247</v>
      </c>
      <c r="D126" s="28" t="s">
        <v>260</v>
      </c>
      <c r="E126" s="47" t="s">
        <v>556</v>
      </c>
      <c r="F126" s="30" t="s">
        <v>247</v>
      </c>
      <c r="K126" s="27" t="b">
        <f>REGISTRO!F131=Hoja1!F126</f>
        <v>1</v>
      </c>
      <c r="L126">
        <v>125</v>
      </c>
    </row>
    <row r="127" spans="1:12" ht="15.75" customHeight="1" x14ac:dyDescent="0.25">
      <c r="A127" s="27" t="s">
        <v>246</v>
      </c>
      <c r="B127" s="28"/>
      <c r="C127" s="28" t="s">
        <v>247</v>
      </c>
      <c r="D127" s="28" t="s">
        <v>261</v>
      </c>
      <c r="E127" s="47" t="s">
        <v>556</v>
      </c>
      <c r="F127" s="30" t="s">
        <v>247</v>
      </c>
      <c r="K127" s="27" t="b">
        <f>REGISTRO!F132=Hoja1!F127</f>
        <v>1</v>
      </c>
      <c r="L127">
        <v>126</v>
      </c>
    </row>
    <row r="128" spans="1:12" ht="15.75" customHeight="1" x14ac:dyDescent="0.25">
      <c r="A128" s="27" t="s">
        <v>246</v>
      </c>
      <c r="B128" s="28"/>
      <c r="C128" s="28" t="s">
        <v>247</v>
      </c>
      <c r="D128" s="28" t="s">
        <v>262</v>
      </c>
      <c r="E128" s="47" t="s">
        <v>556</v>
      </c>
      <c r="F128" s="30" t="s">
        <v>247</v>
      </c>
      <c r="K128" s="27" t="b">
        <f>REGISTRO!F133=Hoja1!F128</f>
        <v>1</v>
      </c>
      <c r="L128">
        <v>127</v>
      </c>
    </row>
    <row r="129" spans="1:12" ht="15.75" customHeight="1" x14ac:dyDescent="0.25">
      <c r="A129" s="27" t="s">
        <v>246</v>
      </c>
      <c r="B129" s="28"/>
      <c r="C129" s="28" t="s">
        <v>247</v>
      </c>
      <c r="D129" s="28" t="s">
        <v>263</v>
      </c>
      <c r="E129" s="47" t="s">
        <v>556</v>
      </c>
      <c r="F129" s="30" t="s">
        <v>247</v>
      </c>
      <c r="K129" s="27" t="b">
        <f>REGISTRO!F134=Hoja1!F129</f>
        <v>1</v>
      </c>
      <c r="L129">
        <v>128</v>
      </c>
    </row>
    <row r="130" spans="1:12" ht="15.75" customHeight="1" x14ac:dyDescent="0.25">
      <c r="A130" s="27" t="s">
        <v>246</v>
      </c>
      <c r="B130" s="28"/>
      <c r="C130" s="28" t="s">
        <v>247</v>
      </c>
      <c r="D130" s="28" t="s">
        <v>264</v>
      </c>
      <c r="E130" s="47" t="s">
        <v>556</v>
      </c>
      <c r="F130" s="30" t="s">
        <v>247</v>
      </c>
      <c r="K130" s="27" t="b">
        <f>REGISTRO!F135=Hoja1!F130</f>
        <v>1</v>
      </c>
      <c r="L130">
        <v>129</v>
      </c>
    </row>
    <row r="131" spans="1:12" ht="15.75" customHeight="1" x14ac:dyDescent="0.25">
      <c r="A131" s="27" t="s">
        <v>246</v>
      </c>
      <c r="B131" s="28"/>
      <c r="C131" s="28" t="s">
        <v>247</v>
      </c>
      <c r="D131" s="28" t="s">
        <v>265</v>
      </c>
      <c r="E131" s="47" t="s">
        <v>556</v>
      </c>
      <c r="F131" s="30" t="s">
        <v>247</v>
      </c>
      <c r="K131" s="27" t="b">
        <f>REGISTRO!F136=Hoja1!F131</f>
        <v>1</v>
      </c>
      <c r="L131">
        <v>130</v>
      </c>
    </row>
    <row r="132" spans="1:12" ht="15.75" customHeight="1" x14ac:dyDescent="0.25">
      <c r="A132" s="27" t="s">
        <v>246</v>
      </c>
      <c r="B132" s="28"/>
      <c r="C132" s="28" t="s">
        <v>266</v>
      </c>
      <c r="D132" s="28" t="s">
        <v>267</v>
      </c>
      <c r="E132" s="47" t="s">
        <v>557</v>
      </c>
      <c r="F132" s="30" t="s">
        <v>266</v>
      </c>
      <c r="K132" s="27" t="b">
        <f>REGISTRO!F137=Hoja1!F132</f>
        <v>1</v>
      </c>
      <c r="L132">
        <v>131</v>
      </c>
    </row>
    <row r="133" spans="1:12" ht="15.75" customHeight="1" x14ac:dyDescent="0.25">
      <c r="A133" s="27" t="s">
        <v>246</v>
      </c>
      <c r="B133" s="28"/>
      <c r="C133" s="28" t="s">
        <v>266</v>
      </c>
      <c r="D133" s="28" t="s">
        <v>268</v>
      </c>
      <c r="E133" s="47" t="s">
        <v>557</v>
      </c>
      <c r="F133" s="30" t="s">
        <v>266</v>
      </c>
      <c r="K133" s="27" t="b">
        <f>REGISTRO!F138=Hoja1!F133</f>
        <v>1</v>
      </c>
      <c r="L133">
        <v>132</v>
      </c>
    </row>
    <row r="134" spans="1:12" ht="15.75" customHeight="1" x14ac:dyDescent="0.25">
      <c r="A134" s="27" t="s">
        <v>246</v>
      </c>
      <c r="B134" s="28"/>
      <c r="C134" s="28" t="s">
        <v>266</v>
      </c>
      <c r="D134" s="28" t="s">
        <v>269</v>
      </c>
      <c r="E134" s="47" t="s">
        <v>557</v>
      </c>
      <c r="F134" s="30" t="s">
        <v>266</v>
      </c>
      <c r="K134" s="27" t="b">
        <f>REGISTRO!F139=Hoja1!F134</f>
        <v>1</v>
      </c>
      <c r="L134">
        <v>133</v>
      </c>
    </row>
    <row r="135" spans="1:12" ht="15.75" customHeight="1" x14ac:dyDescent="0.25">
      <c r="A135" s="27" t="s">
        <v>246</v>
      </c>
      <c r="B135" s="28"/>
      <c r="C135" s="28" t="s">
        <v>266</v>
      </c>
      <c r="D135" s="28" t="s">
        <v>270</v>
      </c>
      <c r="E135" s="47" t="s">
        <v>557</v>
      </c>
      <c r="F135" s="30" t="s">
        <v>266</v>
      </c>
      <c r="K135" s="27" t="b">
        <f>REGISTRO!F140=Hoja1!F135</f>
        <v>1</v>
      </c>
      <c r="L135">
        <v>134</v>
      </c>
    </row>
    <row r="136" spans="1:12" ht="15.75" customHeight="1" x14ac:dyDescent="0.25">
      <c r="A136" s="27" t="s">
        <v>246</v>
      </c>
      <c r="B136" s="28"/>
      <c r="C136" s="28" t="s">
        <v>266</v>
      </c>
      <c r="D136" s="28" t="s">
        <v>271</v>
      </c>
      <c r="E136" s="47" t="s">
        <v>557</v>
      </c>
      <c r="F136" s="30" t="s">
        <v>266</v>
      </c>
      <c r="K136" s="27" t="b">
        <f>REGISTRO!F141=Hoja1!F136</f>
        <v>1</v>
      </c>
      <c r="L136">
        <v>135</v>
      </c>
    </row>
    <row r="137" spans="1:12" ht="15.75" customHeight="1" x14ac:dyDescent="0.25">
      <c r="A137" s="27" t="s">
        <v>246</v>
      </c>
      <c r="B137" s="28"/>
      <c r="C137" s="28" t="s">
        <v>266</v>
      </c>
      <c r="D137" s="28" t="s">
        <v>272</v>
      </c>
      <c r="E137" s="47" t="s">
        <v>557</v>
      </c>
      <c r="F137" s="30" t="s">
        <v>266</v>
      </c>
      <c r="K137" s="27" t="b">
        <f>REGISTRO!F142=Hoja1!F137</f>
        <v>1</v>
      </c>
      <c r="L137">
        <v>136</v>
      </c>
    </row>
    <row r="138" spans="1:12" ht="15.75" customHeight="1" x14ac:dyDescent="0.25">
      <c r="A138" s="27" t="s">
        <v>246</v>
      </c>
      <c r="B138" s="28"/>
      <c r="C138" s="28" t="s">
        <v>266</v>
      </c>
      <c r="D138" s="28" t="s">
        <v>273</v>
      </c>
      <c r="E138" s="47" t="s">
        <v>557</v>
      </c>
      <c r="F138" s="30" t="s">
        <v>266</v>
      </c>
      <c r="K138" s="27" t="b">
        <f>REGISTRO!F143=Hoja1!F138</f>
        <v>1</v>
      </c>
      <c r="L138">
        <v>137</v>
      </c>
    </row>
    <row r="139" spans="1:12" ht="15.75" customHeight="1" x14ac:dyDescent="0.25">
      <c r="A139" s="27" t="s">
        <v>246</v>
      </c>
      <c r="B139" s="28"/>
      <c r="C139" s="28" t="s">
        <v>266</v>
      </c>
      <c r="D139" s="28" t="s">
        <v>274</v>
      </c>
      <c r="E139" s="47" t="s">
        <v>557</v>
      </c>
      <c r="F139" s="30" t="s">
        <v>266</v>
      </c>
      <c r="K139" s="27" t="b">
        <f>REGISTRO!F144=Hoja1!F139</f>
        <v>1</v>
      </c>
      <c r="L139">
        <v>138</v>
      </c>
    </row>
    <row r="140" spans="1:12" ht="15.75" customHeight="1" x14ac:dyDescent="0.25">
      <c r="A140" s="27" t="s">
        <v>246</v>
      </c>
      <c r="B140" s="28"/>
      <c r="C140" s="28" t="s">
        <v>266</v>
      </c>
      <c r="D140" s="28" t="s">
        <v>275</v>
      </c>
      <c r="E140" s="47" t="s">
        <v>557</v>
      </c>
      <c r="F140" s="30" t="s">
        <v>266</v>
      </c>
      <c r="K140" s="27" t="b">
        <f>REGISTRO!F145=Hoja1!F140</f>
        <v>1</v>
      </c>
      <c r="L140">
        <v>139</v>
      </c>
    </row>
    <row r="141" spans="1:12" ht="15.75" customHeight="1" x14ac:dyDescent="0.25">
      <c r="A141" s="27" t="s">
        <v>246</v>
      </c>
      <c r="B141" s="28"/>
      <c r="C141" s="28" t="s">
        <v>266</v>
      </c>
      <c r="D141" s="28" t="s">
        <v>276</v>
      </c>
      <c r="E141" s="47" t="s">
        <v>557</v>
      </c>
      <c r="F141" s="30" t="s">
        <v>266</v>
      </c>
      <c r="K141" s="27" t="b">
        <f>REGISTRO!F146=Hoja1!F141</f>
        <v>1</v>
      </c>
      <c r="L141">
        <v>140</v>
      </c>
    </row>
    <row r="142" spans="1:12" ht="15.75" customHeight="1" x14ac:dyDescent="0.25">
      <c r="A142" s="27" t="s">
        <v>246</v>
      </c>
      <c r="B142" s="28"/>
      <c r="C142" s="28" t="s">
        <v>266</v>
      </c>
      <c r="D142" s="28" t="s">
        <v>277</v>
      </c>
      <c r="E142" s="47" t="s">
        <v>557</v>
      </c>
      <c r="F142" s="30" t="s">
        <v>266</v>
      </c>
      <c r="K142" s="27" t="b">
        <f>REGISTRO!F147=Hoja1!F142</f>
        <v>1</v>
      </c>
      <c r="L142">
        <v>141</v>
      </c>
    </row>
    <row r="143" spans="1:12" ht="15.75" customHeight="1" x14ac:dyDescent="0.25">
      <c r="A143" s="27" t="s">
        <v>246</v>
      </c>
      <c r="B143" s="28"/>
      <c r="C143" s="28" t="s">
        <v>266</v>
      </c>
      <c r="D143" s="28" t="s">
        <v>278</v>
      </c>
      <c r="E143" s="47" t="s">
        <v>557</v>
      </c>
      <c r="F143" s="30" t="s">
        <v>266</v>
      </c>
      <c r="K143" s="27" t="b">
        <f>REGISTRO!F148=Hoja1!F143</f>
        <v>1</v>
      </c>
      <c r="L143">
        <v>142</v>
      </c>
    </row>
    <row r="144" spans="1:12" ht="15.75" customHeight="1" x14ac:dyDescent="0.25">
      <c r="A144" s="27" t="s">
        <v>246</v>
      </c>
      <c r="B144" s="28"/>
      <c r="C144" s="28" t="s">
        <v>266</v>
      </c>
      <c r="D144" s="28" t="s">
        <v>279</v>
      </c>
      <c r="E144" s="47" t="s">
        <v>557</v>
      </c>
      <c r="F144" s="30" t="s">
        <v>266</v>
      </c>
      <c r="K144" s="27" t="b">
        <f>REGISTRO!F149=Hoja1!F144</f>
        <v>1</v>
      </c>
      <c r="L144">
        <v>143</v>
      </c>
    </row>
    <row r="145" spans="1:12" ht="15.75" customHeight="1" x14ac:dyDescent="0.25">
      <c r="A145" s="27" t="s">
        <v>246</v>
      </c>
      <c r="B145" s="28"/>
      <c r="C145" s="28" t="s">
        <v>266</v>
      </c>
      <c r="D145" s="28" t="s">
        <v>280</v>
      </c>
      <c r="E145" s="47" t="s">
        <v>557</v>
      </c>
      <c r="F145" s="30" t="s">
        <v>266</v>
      </c>
      <c r="K145" s="27" t="b">
        <f>REGISTRO!F150=Hoja1!F145</f>
        <v>1</v>
      </c>
      <c r="L145">
        <v>144</v>
      </c>
    </row>
    <row r="146" spans="1:12" ht="15.75" customHeight="1" x14ac:dyDescent="0.25">
      <c r="A146" s="27" t="s">
        <v>246</v>
      </c>
      <c r="B146" s="28" t="s">
        <v>824</v>
      </c>
      <c r="C146" s="28" t="s">
        <v>281</v>
      </c>
      <c r="D146" s="28"/>
      <c r="E146" s="48" t="s">
        <v>1015</v>
      </c>
      <c r="F146" s="30" t="s">
        <v>281</v>
      </c>
      <c r="K146" s="27" t="b">
        <f>REGISTRO!F151=Hoja1!F146</f>
        <v>1</v>
      </c>
      <c r="L146">
        <v>145</v>
      </c>
    </row>
    <row r="147" spans="1:12" ht="15.75" customHeight="1" x14ac:dyDescent="0.25">
      <c r="A147" s="27" t="s">
        <v>246</v>
      </c>
      <c r="B147" s="28" t="s">
        <v>825</v>
      </c>
      <c r="C147" s="28" t="s">
        <v>281</v>
      </c>
      <c r="D147" s="28" t="s">
        <v>924</v>
      </c>
      <c r="E147" s="48" t="s">
        <v>929</v>
      </c>
      <c r="F147" s="30" t="s">
        <v>281</v>
      </c>
      <c r="K147" s="27" t="b">
        <f>REGISTRO!F152=Hoja1!F147</f>
        <v>1</v>
      </c>
      <c r="L147">
        <v>146</v>
      </c>
    </row>
    <row r="148" spans="1:12" ht="15.75" customHeight="1" x14ac:dyDescent="0.25">
      <c r="A148" s="27" t="s">
        <v>246</v>
      </c>
      <c r="B148" s="28" t="s">
        <v>826</v>
      </c>
      <c r="C148" s="28" t="s">
        <v>281</v>
      </c>
      <c r="D148" s="28"/>
      <c r="E148" s="48" t="s">
        <v>972</v>
      </c>
      <c r="F148" s="30" t="s">
        <v>281</v>
      </c>
      <c r="K148" s="27" t="b">
        <f>REGISTRO!F153=Hoja1!F148</f>
        <v>1</v>
      </c>
      <c r="L148">
        <v>147</v>
      </c>
    </row>
    <row r="149" spans="1:12" ht="15.75" customHeight="1" x14ac:dyDescent="0.25">
      <c r="A149" s="27" t="s">
        <v>246</v>
      </c>
      <c r="B149" s="28" t="s">
        <v>827</v>
      </c>
      <c r="C149" s="28" t="s">
        <v>281</v>
      </c>
      <c r="D149" s="28" t="s">
        <v>283</v>
      </c>
      <c r="E149" s="48" t="s">
        <v>930</v>
      </c>
      <c r="F149" s="30" t="s">
        <v>281</v>
      </c>
      <c r="K149" s="27" t="b">
        <f>REGISTRO!F154=Hoja1!F149</f>
        <v>1</v>
      </c>
      <c r="L149">
        <v>148</v>
      </c>
    </row>
    <row r="150" spans="1:12" ht="15.75" customHeight="1" x14ac:dyDescent="0.25">
      <c r="A150" s="27" t="s">
        <v>246</v>
      </c>
      <c r="B150" s="28" t="s">
        <v>857</v>
      </c>
      <c r="C150" s="28" t="s">
        <v>281</v>
      </c>
      <c r="D150" s="28" t="s">
        <v>283</v>
      </c>
      <c r="E150" s="48" t="s">
        <v>932</v>
      </c>
      <c r="F150" s="30" t="s">
        <v>281</v>
      </c>
      <c r="K150" s="27" t="b">
        <f>REGISTRO!F155=Hoja1!F150</f>
        <v>1</v>
      </c>
      <c r="L150">
        <v>149</v>
      </c>
    </row>
    <row r="151" spans="1:12" ht="15.75" customHeight="1" x14ac:dyDescent="0.25">
      <c r="A151" s="27" t="s">
        <v>246</v>
      </c>
      <c r="B151" s="28" t="s">
        <v>828</v>
      </c>
      <c r="C151" s="28" t="s">
        <v>281</v>
      </c>
      <c r="D151" s="28" t="s">
        <v>925</v>
      </c>
      <c r="E151" s="48" t="s">
        <v>931</v>
      </c>
      <c r="F151" s="30" t="s">
        <v>281</v>
      </c>
      <c r="K151" s="27" t="b">
        <f>REGISTRO!F156=Hoja1!F151</f>
        <v>1</v>
      </c>
      <c r="L151">
        <v>150</v>
      </c>
    </row>
    <row r="152" spans="1:12" ht="15.75" customHeight="1" x14ac:dyDescent="0.25">
      <c r="A152" s="27" t="s">
        <v>246</v>
      </c>
      <c r="B152" s="28" t="s">
        <v>829</v>
      </c>
      <c r="C152" s="28" t="s">
        <v>281</v>
      </c>
      <c r="D152" s="28"/>
      <c r="E152" s="48" t="s">
        <v>973</v>
      </c>
      <c r="F152" s="30" t="s">
        <v>281</v>
      </c>
      <c r="K152" s="27" t="b">
        <f>REGISTRO!F157=Hoja1!F152</f>
        <v>1</v>
      </c>
      <c r="L152">
        <v>151</v>
      </c>
    </row>
    <row r="153" spans="1:12" ht="15.75" customHeight="1" x14ac:dyDescent="0.25">
      <c r="A153" s="27" t="s">
        <v>246</v>
      </c>
      <c r="B153" s="28" t="s">
        <v>830</v>
      </c>
      <c r="C153" s="28" t="s">
        <v>281</v>
      </c>
      <c r="D153" s="28"/>
      <c r="E153" s="48" t="s">
        <v>974</v>
      </c>
      <c r="F153" s="30" t="s">
        <v>281</v>
      </c>
      <c r="K153" s="27" t="b">
        <f>REGISTRO!F158=Hoja1!F153</f>
        <v>1</v>
      </c>
      <c r="L153">
        <v>152</v>
      </c>
    </row>
    <row r="154" spans="1:12" ht="15.75" customHeight="1" x14ac:dyDescent="0.25">
      <c r="A154" s="27" t="s">
        <v>246</v>
      </c>
      <c r="B154" s="28" t="s">
        <v>831</v>
      </c>
      <c r="C154" s="28" t="s">
        <v>281</v>
      </c>
      <c r="D154" s="28"/>
      <c r="E154" s="48" t="s">
        <v>975</v>
      </c>
      <c r="F154" s="30" t="s">
        <v>281</v>
      </c>
      <c r="K154" s="27" t="b">
        <f>REGISTRO!F159=Hoja1!F154</f>
        <v>1</v>
      </c>
      <c r="L154">
        <v>153</v>
      </c>
    </row>
    <row r="155" spans="1:12" ht="15.75" customHeight="1" x14ac:dyDescent="0.25">
      <c r="A155" s="27" t="s">
        <v>246</v>
      </c>
      <c r="B155" s="28" t="s">
        <v>832</v>
      </c>
      <c r="C155" s="28" t="s">
        <v>281</v>
      </c>
      <c r="D155" s="28"/>
      <c r="E155" s="48" t="s">
        <v>976</v>
      </c>
      <c r="F155" s="30" t="s">
        <v>281</v>
      </c>
      <c r="K155" s="27" t="b">
        <f>REGISTRO!F160=Hoja1!F155</f>
        <v>1</v>
      </c>
      <c r="L155">
        <v>154</v>
      </c>
    </row>
    <row r="156" spans="1:12" ht="15.75" customHeight="1" x14ac:dyDescent="0.25">
      <c r="A156" s="27" t="s">
        <v>246</v>
      </c>
      <c r="B156" s="28" t="s">
        <v>833</v>
      </c>
      <c r="C156" s="28" t="s">
        <v>281</v>
      </c>
      <c r="D156" s="28"/>
      <c r="E156" s="48" t="s">
        <v>977</v>
      </c>
      <c r="F156" s="30" t="s">
        <v>281</v>
      </c>
      <c r="K156" s="27" t="b">
        <f>REGISTRO!F161=Hoja1!F156</f>
        <v>1</v>
      </c>
      <c r="L156">
        <v>155</v>
      </c>
    </row>
    <row r="157" spans="1:12" ht="15.75" customHeight="1" x14ac:dyDescent="0.25">
      <c r="A157" s="27" t="s">
        <v>246</v>
      </c>
      <c r="B157" s="28" t="s">
        <v>858</v>
      </c>
      <c r="C157" s="28" t="s">
        <v>281</v>
      </c>
      <c r="D157" s="28" t="s">
        <v>283</v>
      </c>
      <c r="E157" s="48" t="s">
        <v>934</v>
      </c>
      <c r="F157" s="30" t="s">
        <v>281</v>
      </c>
      <c r="K157" s="27" t="b">
        <f>REGISTRO!F162=Hoja1!F157</f>
        <v>1</v>
      </c>
      <c r="L157">
        <v>156</v>
      </c>
    </row>
    <row r="158" spans="1:12" ht="15.75" customHeight="1" x14ac:dyDescent="0.25">
      <c r="A158" s="27" t="s">
        <v>246</v>
      </c>
      <c r="B158" s="28" t="s">
        <v>859</v>
      </c>
      <c r="C158" s="28" t="s">
        <v>281</v>
      </c>
      <c r="D158" s="28" t="s">
        <v>283</v>
      </c>
      <c r="E158" s="48" t="s">
        <v>935</v>
      </c>
      <c r="F158" s="30" t="s">
        <v>281</v>
      </c>
      <c r="K158" s="27" t="b">
        <f>REGISTRO!F163=Hoja1!F158</f>
        <v>1</v>
      </c>
      <c r="L158">
        <v>157</v>
      </c>
    </row>
    <row r="159" spans="1:12" ht="15.75" customHeight="1" x14ac:dyDescent="0.25">
      <c r="A159" s="27" t="s">
        <v>246</v>
      </c>
      <c r="B159" s="28" t="s">
        <v>860</v>
      </c>
      <c r="C159" s="28" t="s">
        <v>281</v>
      </c>
      <c r="D159" s="28" t="s">
        <v>283</v>
      </c>
      <c r="E159" s="48" t="s">
        <v>933</v>
      </c>
      <c r="F159" s="30" t="s">
        <v>281</v>
      </c>
      <c r="K159" s="27" t="b">
        <f>REGISTRO!F164=Hoja1!F159</f>
        <v>1</v>
      </c>
      <c r="L159">
        <v>158</v>
      </c>
    </row>
    <row r="160" spans="1:12" ht="15.75" customHeight="1" x14ac:dyDescent="0.25">
      <c r="A160" s="27" t="s">
        <v>246</v>
      </c>
      <c r="B160" s="28" t="s">
        <v>861</v>
      </c>
      <c r="C160" s="28" t="s">
        <v>281</v>
      </c>
      <c r="D160" s="28"/>
      <c r="E160" s="48" t="s">
        <v>1000</v>
      </c>
      <c r="F160" s="30" t="s">
        <v>281</v>
      </c>
      <c r="K160" s="27" t="b">
        <f>REGISTRO!F165=Hoja1!F160</f>
        <v>1</v>
      </c>
      <c r="L160">
        <v>159</v>
      </c>
    </row>
    <row r="161" spans="1:12" ht="15.75" customHeight="1" x14ac:dyDescent="0.25">
      <c r="A161" s="27" t="s">
        <v>246</v>
      </c>
      <c r="B161" s="28" t="s">
        <v>862</v>
      </c>
      <c r="C161" s="28" t="s">
        <v>281</v>
      </c>
      <c r="D161" s="28"/>
      <c r="E161" s="48" t="s">
        <v>1001</v>
      </c>
      <c r="F161" s="30" t="s">
        <v>281</v>
      </c>
      <c r="K161" s="27" t="b">
        <f>REGISTRO!F166=Hoja1!F161</f>
        <v>1</v>
      </c>
      <c r="L161">
        <v>160</v>
      </c>
    </row>
    <row r="162" spans="1:12" ht="14.25" customHeight="1" x14ac:dyDescent="0.25">
      <c r="A162" s="27" t="s">
        <v>246</v>
      </c>
      <c r="B162" s="28" t="s">
        <v>863</v>
      </c>
      <c r="C162" s="28" t="s">
        <v>281</v>
      </c>
      <c r="D162" s="28"/>
      <c r="E162" s="48" t="s">
        <v>1002</v>
      </c>
      <c r="F162" s="30" t="s">
        <v>281</v>
      </c>
      <c r="K162" s="27" t="b">
        <f>REGISTRO!F167=Hoja1!F162</f>
        <v>1</v>
      </c>
      <c r="L162">
        <v>161</v>
      </c>
    </row>
    <row r="163" spans="1:12" ht="15.75" customHeight="1" x14ac:dyDescent="0.25">
      <c r="A163" s="27" t="s">
        <v>246</v>
      </c>
      <c r="B163" s="28" t="s">
        <v>864</v>
      </c>
      <c r="C163" s="28" t="s">
        <v>281</v>
      </c>
      <c r="D163" s="28" t="s">
        <v>283</v>
      </c>
      <c r="E163" s="48" t="s">
        <v>936</v>
      </c>
      <c r="F163" s="30" t="s">
        <v>281</v>
      </c>
      <c r="K163" s="27" t="b">
        <f>REGISTRO!F168=Hoja1!F163</f>
        <v>1</v>
      </c>
      <c r="L163">
        <v>162</v>
      </c>
    </row>
    <row r="164" spans="1:12" ht="15.75" customHeight="1" x14ac:dyDescent="0.25">
      <c r="A164" s="27" t="s">
        <v>246</v>
      </c>
      <c r="B164" s="28" t="s">
        <v>865</v>
      </c>
      <c r="C164" s="28" t="s">
        <v>281</v>
      </c>
      <c r="D164" s="28"/>
      <c r="E164" s="48" t="s">
        <v>1003</v>
      </c>
      <c r="F164" s="30" t="s">
        <v>281</v>
      </c>
      <c r="K164" s="27" t="b">
        <f>REGISTRO!F169=Hoja1!F164</f>
        <v>1</v>
      </c>
      <c r="L164">
        <v>163</v>
      </c>
    </row>
    <row r="165" spans="1:12" ht="15.75" customHeight="1" x14ac:dyDescent="0.25">
      <c r="A165" s="27" t="s">
        <v>246</v>
      </c>
      <c r="B165" s="28" t="s">
        <v>866</v>
      </c>
      <c r="C165" s="28" t="s">
        <v>281</v>
      </c>
      <c r="D165" s="28"/>
      <c r="E165" s="48" t="s">
        <v>1004</v>
      </c>
      <c r="F165" s="30" t="s">
        <v>281</v>
      </c>
      <c r="K165" s="27" t="b">
        <f>REGISTRO!F170=Hoja1!F165</f>
        <v>1</v>
      </c>
      <c r="L165">
        <v>164</v>
      </c>
    </row>
    <row r="166" spans="1:12" ht="15.75" customHeight="1" x14ac:dyDescent="0.25">
      <c r="A166" s="27" t="s">
        <v>246</v>
      </c>
      <c r="B166" s="28" t="s">
        <v>867</v>
      </c>
      <c r="C166" s="28" t="s">
        <v>281</v>
      </c>
      <c r="D166" s="28"/>
      <c r="E166" s="48" t="s">
        <v>1005</v>
      </c>
      <c r="F166" s="30" t="s">
        <v>281</v>
      </c>
      <c r="K166" s="27" t="b">
        <f>REGISTRO!F171=Hoja1!F166</f>
        <v>1</v>
      </c>
      <c r="L166">
        <v>165</v>
      </c>
    </row>
    <row r="167" spans="1:12" ht="15.75" customHeight="1" x14ac:dyDescent="0.25">
      <c r="A167" s="27" t="s">
        <v>246</v>
      </c>
      <c r="B167" s="28" t="s">
        <v>868</v>
      </c>
      <c r="C167" s="28" t="s">
        <v>281</v>
      </c>
      <c r="D167" s="28" t="s">
        <v>283</v>
      </c>
      <c r="E167" s="48" t="s">
        <v>937</v>
      </c>
      <c r="F167" s="30" t="s">
        <v>281</v>
      </c>
      <c r="K167" s="27" t="b">
        <f>REGISTRO!F172=Hoja1!F167</f>
        <v>1</v>
      </c>
      <c r="L167">
        <v>166</v>
      </c>
    </row>
    <row r="168" spans="1:12" ht="15.75" customHeight="1" x14ac:dyDescent="0.25">
      <c r="A168" s="27" t="s">
        <v>246</v>
      </c>
      <c r="B168" s="28" t="s">
        <v>836</v>
      </c>
      <c r="C168" s="28" t="s">
        <v>281</v>
      </c>
      <c r="D168" s="28"/>
      <c r="E168" s="48" t="s">
        <v>1006</v>
      </c>
      <c r="F168" s="30" t="s">
        <v>281</v>
      </c>
      <c r="K168" s="27" t="b">
        <f>REGISTRO!F173=Hoja1!F168</f>
        <v>1</v>
      </c>
      <c r="L168">
        <v>167</v>
      </c>
    </row>
    <row r="169" spans="1:12" ht="15.75" customHeight="1" x14ac:dyDescent="0.25">
      <c r="A169" s="27" t="s">
        <v>246</v>
      </c>
      <c r="B169" s="28" t="s">
        <v>869</v>
      </c>
      <c r="C169" s="28" t="s">
        <v>281</v>
      </c>
      <c r="D169" s="28" t="s">
        <v>283</v>
      </c>
      <c r="E169" s="48" t="s">
        <v>938</v>
      </c>
      <c r="F169" s="30" t="s">
        <v>281</v>
      </c>
      <c r="K169" s="27" t="b">
        <f>REGISTRO!F174=Hoja1!F169</f>
        <v>1</v>
      </c>
      <c r="L169">
        <v>168</v>
      </c>
    </row>
    <row r="170" spans="1:12" ht="15.75" customHeight="1" x14ac:dyDescent="0.25">
      <c r="A170" s="27" t="s">
        <v>246</v>
      </c>
      <c r="B170" s="28" t="s">
        <v>870</v>
      </c>
      <c r="C170" s="28" t="s">
        <v>281</v>
      </c>
      <c r="D170" s="28"/>
      <c r="E170" s="48" t="s">
        <v>1007</v>
      </c>
      <c r="F170" s="30" t="s">
        <v>281</v>
      </c>
      <c r="K170" s="27" t="b">
        <f>REGISTRO!F175=Hoja1!F170</f>
        <v>1</v>
      </c>
      <c r="L170">
        <v>169</v>
      </c>
    </row>
    <row r="171" spans="1:12" ht="15.75" customHeight="1" x14ac:dyDescent="0.25">
      <c r="A171" s="27" t="s">
        <v>246</v>
      </c>
      <c r="B171" s="28" t="s">
        <v>871</v>
      </c>
      <c r="C171" s="28" t="s">
        <v>281</v>
      </c>
      <c r="D171" s="28"/>
      <c r="E171" s="48" t="s">
        <v>1008</v>
      </c>
      <c r="F171" s="30" t="s">
        <v>281</v>
      </c>
      <c r="K171" s="27" t="b">
        <f>REGISTRO!F176=Hoja1!F171</f>
        <v>1</v>
      </c>
      <c r="L171">
        <v>170</v>
      </c>
    </row>
    <row r="172" spans="1:12" ht="15.75" customHeight="1" x14ac:dyDescent="0.25">
      <c r="A172" s="27" t="s">
        <v>246</v>
      </c>
      <c r="B172" s="28" t="s">
        <v>855</v>
      </c>
      <c r="C172" s="28" t="s">
        <v>281</v>
      </c>
      <c r="D172" s="28" t="s">
        <v>923</v>
      </c>
      <c r="E172" s="48" t="s">
        <v>940</v>
      </c>
      <c r="F172" s="30" t="s">
        <v>281</v>
      </c>
      <c r="K172" s="27" t="b">
        <f>REGISTRO!F177=Hoja1!F172</f>
        <v>1</v>
      </c>
      <c r="L172">
        <v>171</v>
      </c>
    </row>
    <row r="173" spans="1:12" ht="15.75" customHeight="1" x14ac:dyDescent="0.25">
      <c r="A173" s="27" t="s">
        <v>246</v>
      </c>
      <c r="B173" s="28" t="s">
        <v>872</v>
      </c>
      <c r="C173" s="28" t="s">
        <v>281</v>
      </c>
      <c r="D173" s="28" t="s">
        <v>290</v>
      </c>
      <c r="E173" s="48" t="s">
        <v>939</v>
      </c>
      <c r="F173" s="30" t="s">
        <v>281</v>
      </c>
      <c r="K173" s="27" t="b">
        <f>REGISTRO!F178=Hoja1!F173</f>
        <v>1</v>
      </c>
      <c r="L173">
        <v>172</v>
      </c>
    </row>
    <row r="174" spans="1:12" ht="15.75" customHeight="1" x14ac:dyDescent="0.25">
      <c r="A174" s="27" t="s">
        <v>246</v>
      </c>
      <c r="B174" s="28" t="s">
        <v>873</v>
      </c>
      <c r="C174" s="28" t="s">
        <v>281</v>
      </c>
      <c r="D174" s="28"/>
      <c r="E174" s="48" t="s">
        <v>1009</v>
      </c>
      <c r="F174" s="30" t="s">
        <v>281</v>
      </c>
      <c r="K174" s="27" t="b">
        <f>REGISTRO!F179=Hoja1!F174</f>
        <v>1</v>
      </c>
      <c r="L174">
        <v>173</v>
      </c>
    </row>
    <row r="175" spans="1:12" ht="15.75" customHeight="1" x14ac:dyDescent="0.25">
      <c r="A175" s="27" t="s">
        <v>246</v>
      </c>
      <c r="B175" s="28" t="s">
        <v>856</v>
      </c>
      <c r="C175" s="28" t="s">
        <v>281</v>
      </c>
      <c r="D175" s="28"/>
      <c r="E175" s="48" t="s">
        <v>1010</v>
      </c>
      <c r="F175" s="30" t="s">
        <v>281</v>
      </c>
      <c r="K175" s="27" t="b">
        <f>REGISTRO!F180=Hoja1!F175</f>
        <v>1</v>
      </c>
      <c r="L175">
        <v>174</v>
      </c>
    </row>
    <row r="176" spans="1:12" ht="15.75" customHeight="1" x14ac:dyDescent="0.25">
      <c r="A176" s="27" t="s">
        <v>246</v>
      </c>
      <c r="B176" s="28" t="s">
        <v>874</v>
      </c>
      <c r="C176" s="28" t="s">
        <v>281</v>
      </c>
      <c r="D176" s="28" t="s">
        <v>283</v>
      </c>
      <c r="E176" s="48" t="s">
        <v>941</v>
      </c>
      <c r="F176" s="30" t="s">
        <v>281</v>
      </c>
      <c r="K176" s="27" t="b">
        <f>REGISTRO!F181=Hoja1!F176</f>
        <v>1</v>
      </c>
      <c r="L176">
        <v>175</v>
      </c>
    </row>
    <row r="177" spans="1:12" ht="15.75" customHeight="1" x14ac:dyDescent="0.25">
      <c r="A177" s="27" t="s">
        <v>246</v>
      </c>
      <c r="B177" s="28" t="s">
        <v>837</v>
      </c>
      <c r="C177" s="28" t="s">
        <v>281</v>
      </c>
      <c r="D177" s="28"/>
      <c r="E177" s="48" t="s">
        <v>1011</v>
      </c>
      <c r="F177" s="30" t="s">
        <v>281</v>
      </c>
      <c r="K177" s="27" t="b">
        <f>REGISTRO!F182=Hoja1!F177</f>
        <v>1</v>
      </c>
      <c r="L177">
        <v>176</v>
      </c>
    </row>
    <row r="178" spans="1:12" ht="15.75" customHeight="1" x14ac:dyDescent="0.25">
      <c r="A178" s="27" t="s">
        <v>246</v>
      </c>
      <c r="B178" s="28" t="s">
        <v>838</v>
      </c>
      <c r="C178" s="28" t="s">
        <v>281</v>
      </c>
      <c r="D178" s="28" t="s">
        <v>283</v>
      </c>
      <c r="E178" s="48" t="s">
        <v>942</v>
      </c>
      <c r="F178" s="30" t="s">
        <v>281</v>
      </c>
      <c r="K178" s="27" t="b">
        <f>REGISTRO!F183=Hoja1!F178</f>
        <v>1</v>
      </c>
      <c r="L178">
        <v>177</v>
      </c>
    </row>
    <row r="179" spans="1:12" ht="15.75" customHeight="1" x14ac:dyDescent="0.25">
      <c r="A179" s="27" t="s">
        <v>246</v>
      </c>
      <c r="B179" s="28" t="s">
        <v>875</v>
      </c>
      <c r="C179" s="28" t="s">
        <v>281</v>
      </c>
      <c r="D179" s="28"/>
      <c r="E179" s="48" t="s">
        <v>1012</v>
      </c>
      <c r="F179" s="30" t="s">
        <v>281</v>
      </c>
      <c r="K179" s="27" t="b">
        <f>REGISTRO!F184=Hoja1!F179</f>
        <v>1</v>
      </c>
      <c r="L179">
        <v>178</v>
      </c>
    </row>
    <row r="180" spans="1:12" ht="15.75" customHeight="1" x14ac:dyDescent="0.25">
      <c r="A180" s="27" t="s">
        <v>246</v>
      </c>
      <c r="B180" s="28" t="s">
        <v>876</v>
      </c>
      <c r="C180" s="28" t="s">
        <v>281</v>
      </c>
      <c r="D180" s="28"/>
      <c r="E180" s="48" t="s">
        <v>1013</v>
      </c>
      <c r="F180" s="30" t="s">
        <v>281</v>
      </c>
      <c r="K180" s="27" t="b">
        <f>REGISTRO!F185=Hoja1!F180</f>
        <v>1</v>
      </c>
      <c r="L180">
        <v>179</v>
      </c>
    </row>
    <row r="181" spans="1:12" ht="15.75" customHeight="1" x14ac:dyDescent="0.25">
      <c r="A181" s="27" t="s">
        <v>246</v>
      </c>
      <c r="B181" s="28" t="s">
        <v>877</v>
      </c>
      <c r="C181" s="28" t="s">
        <v>281</v>
      </c>
      <c r="D181" s="28"/>
      <c r="E181" s="48" t="s">
        <v>1014</v>
      </c>
      <c r="F181" s="30" t="s">
        <v>281</v>
      </c>
      <c r="K181" s="27" t="b">
        <f>REGISTRO!F186=Hoja1!F181</f>
        <v>1</v>
      </c>
      <c r="L181">
        <v>180</v>
      </c>
    </row>
    <row r="182" spans="1:12" ht="15.75" customHeight="1" x14ac:dyDescent="0.25">
      <c r="A182" s="27" t="s">
        <v>246</v>
      </c>
      <c r="B182" s="28" t="s">
        <v>915</v>
      </c>
      <c r="C182" s="28" t="s">
        <v>281</v>
      </c>
      <c r="D182" s="28"/>
      <c r="E182" s="48"/>
      <c r="F182" s="30" t="s">
        <v>281</v>
      </c>
      <c r="K182" s="27" t="b">
        <f>REGISTRO!F187=Hoja1!F182</f>
        <v>1</v>
      </c>
      <c r="L182">
        <v>181</v>
      </c>
    </row>
    <row r="183" spans="1:12" ht="15.75" customHeight="1" x14ac:dyDescent="0.25">
      <c r="A183" s="27" t="s">
        <v>246</v>
      </c>
      <c r="B183" s="28" t="s">
        <v>883</v>
      </c>
      <c r="C183" s="28" t="s">
        <v>281</v>
      </c>
      <c r="D183" s="28"/>
      <c r="E183" s="79" t="s">
        <v>508</v>
      </c>
      <c r="F183" s="30" t="s">
        <v>281</v>
      </c>
      <c r="K183" s="27" t="b">
        <f>REGISTRO!F188=Hoja1!F183</f>
        <v>1</v>
      </c>
      <c r="L183">
        <v>182</v>
      </c>
    </row>
    <row r="184" spans="1:12" ht="15.75" customHeight="1" x14ac:dyDescent="0.25">
      <c r="A184" s="27" t="s">
        <v>246</v>
      </c>
      <c r="B184" s="28" t="s">
        <v>884</v>
      </c>
      <c r="C184" s="28" t="s">
        <v>281</v>
      </c>
      <c r="D184" s="28"/>
      <c r="E184" s="79" t="s">
        <v>508</v>
      </c>
      <c r="F184" s="30" t="s">
        <v>281</v>
      </c>
      <c r="K184" s="27" t="b">
        <f>REGISTRO!F189=Hoja1!F184</f>
        <v>1</v>
      </c>
      <c r="L184">
        <v>183</v>
      </c>
    </row>
    <row r="185" spans="1:12" ht="15.75" customHeight="1" x14ac:dyDescent="0.25">
      <c r="A185" s="27" t="s">
        <v>246</v>
      </c>
      <c r="B185" s="28" t="s">
        <v>885</v>
      </c>
      <c r="C185" s="28" t="s">
        <v>281</v>
      </c>
      <c r="D185" s="28"/>
      <c r="E185" s="79" t="s">
        <v>508</v>
      </c>
      <c r="F185" s="30" t="s">
        <v>281</v>
      </c>
      <c r="K185" s="27" t="b">
        <f>REGISTRO!F190=Hoja1!F185</f>
        <v>1</v>
      </c>
      <c r="L185">
        <v>184</v>
      </c>
    </row>
    <row r="186" spans="1:12" ht="15.75" customHeight="1" x14ac:dyDescent="0.25">
      <c r="A186" s="27" t="s">
        <v>246</v>
      </c>
      <c r="B186" s="28" t="s">
        <v>916</v>
      </c>
      <c r="C186" s="28" t="s">
        <v>281</v>
      </c>
      <c r="D186" s="28"/>
      <c r="E186" s="79" t="s">
        <v>508</v>
      </c>
      <c r="F186" s="30" t="s">
        <v>281</v>
      </c>
      <c r="K186" s="27" t="b">
        <f>REGISTRO!F191=Hoja1!F186</f>
        <v>1</v>
      </c>
      <c r="L186">
        <v>185</v>
      </c>
    </row>
    <row r="187" spans="1:12" ht="15.75" customHeight="1" x14ac:dyDescent="0.25">
      <c r="A187" s="27" t="s">
        <v>246</v>
      </c>
      <c r="B187" s="28" t="s">
        <v>886</v>
      </c>
      <c r="C187" s="28" t="s">
        <v>281</v>
      </c>
      <c r="D187" s="28"/>
      <c r="E187" s="79" t="s">
        <v>508</v>
      </c>
      <c r="F187" s="30" t="s">
        <v>281</v>
      </c>
      <c r="K187" s="27" t="b">
        <f>REGISTRO!F192=Hoja1!F187</f>
        <v>1</v>
      </c>
      <c r="L187">
        <v>186</v>
      </c>
    </row>
    <row r="188" spans="1:12" ht="15.75" customHeight="1" x14ac:dyDescent="0.25">
      <c r="A188" s="27" t="s">
        <v>246</v>
      </c>
      <c r="B188" s="28" t="s">
        <v>917</v>
      </c>
      <c r="C188" s="28" t="s">
        <v>281</v>
      </c>
      <c r="D188" s="28"/>
      <c r="E188" s="79" t="s">
        <v>508</v>
      </c>
      <c r="F188" s="30" t="s">
        <v>281</v>
      </c>
      <c r="K188" s="27" t="b">
        <f>REGISTRO!F193=Hoja1!F188</f>
        <v>1</v>
      </c>
      <c r="L188">
        <v>187</v>
      </c>
    </row>
    <row r="189" spans="1:12" ht="15.75" customHeight="1" x14ac:dyDescent="0.25">
      <c r="A189" s="27" t="s">
        <v>246</v>
      </c>
      <c r="B189" s="28" t="s">
        <v>887</v>
      </c>
      <c r="C189" s="28" t="s">
        <v>281</v>
      </c>
      <c r="D189" s="28"/>
      <c r="E189" s="79" t="s">
        <v>508</v>
      </c>
      <c r="F189" s="30" t="s">
        <v>281</v>
      </c>
      <c r="K189" s="27" t="b">
        <f>REGISTRO!F194=Hoja1!F189</f>
        <v>1</v>
      </c>
      <c r="L189">
        <v>188</v>
      </c>
    </row>
    <row r="190" spans="1:12" ht="15.75" customHeight="1" x14ac:dyDescent="0.25">
      <c r="A190" s="27" t="s">
        <v>246</v>
      </c>
      <c r="B190" s="28" t="s">
        <v>918</v>
      </c>
      <c r="C190" s="28" t="s">
        <v>281</v>
      </c>
      <c r="D190" s="28"/>
      <c r="E190" s="79" t="s">
        <v>508</v>
      </c>
      <c r="F190" s="30" t="s">
        <v>281</v>
      </c>
      <c r="K190" s="27" t="b">
        <f>REGISTRO!F195=Hoja1!F190</f>
        <v>1</v>
      </c>
      <c r="L190">
        <v>189</v>
      </c>
    </row>
    <row r="191" spans="1:12" ht="15.75" customHeight="1" x14ac:dyDescent="0.25">
      <c r="A191" s="27" t="s">
        <v>246</v>
      </c>
      <c r="B191" s="28" t="s">
        <v>919</v>
      </c>
      <c r="C191" s="28" t="s">
        <v>281</v>
      </c>
      <c r="D191" s="28"/>
      <c r="E191" s="79" t="s">
        <v>508</v>
      </c>
      <c r="F191" s="30" t="s">
        <v>281</v>
      </c>
      <c r="K191" s="27" t="b">
        <f>REGISTRO!F196=Hoja1!F191</f>
        <v>1</v>
      </c>
      <c r="L191">
        <v>190</v>
      </c>
    </row>
    <row r="192" spans="1:12" ht="15.75" customHeight="1" x14ac:dyDescent="0.25">
      <c r="A192" s="27" t="s">
        <v>246</v>
      </c>
      <c r="B192" s="28" t="s">
        <v>920</v>
      </c>
      <c r="C192" s="28" t="s">
        <v>281</v>
      </c>
      <c r="D192" s="28"/>
      <c r="E192" s="79" t="s">
        <v>508</v>
      </c>
      <c r="F192" s="30" t="s">
        <v>281</v>
      </c>
      <c r="K192" s="27" t="b">
        <f>REGISTRO!F197=Hoja1!F192</f>
        <v>1</v>
      </c>
      <c r="L192">
        <v>191</v>
      </c>
    </row>
    <row r="193" spans="1:12" ht="15.75" customHeight="1" x14ac:dyDescent="0.25">
      <c r="A193" s="27" t="s">
        <v>246</v>
      </c>
      <c r="B193" s="28" t="s">
        <v>921</v>
      </c>
      <c r="C193" s="28" t="s">
        <v>281</v>
      </c>
      <c r="D193" s="28"/>
      <c r="E193" s="79" t="s">
        <v>508</v>
      </c>
      <c r="F193" s="30" t="s">
        <v>281</v>
      </c>
      <c r="K193" s="27" t="b">
        <f>REGISTRO!F198=Hoja1!F193</f>
        <v>1</v>
      </c>
      <c r="L193">
        <v>192</v>
      </c>
    </row>
    <row r="194" spans="1:12" ht="15.75" customHeight="1" x14ac:dyDescent="0.25">
      <c r="A194" s="27" t="s">
        <v>246</v>
      </c>
      <c r="B194" s="28" t="s">
        <v>922</v>
      </c>
      <c r="C194" s="28" t="s">
        <v>281</v>
      </c>
      <c r="D194" s="28"/>
      <c r="E194" s="79" t="s">
        <v>508</v>
      </c>
      <c r="F194" s="30" t="s">
        <v>281</v>
      </c>
      <c r="K194" s="27" t="b">
        <f>REGISTRO!F199=Hoja1!F194</f>
        <v>1</v>
      </c>
      <c r="L194">
        <v>193</v>
      </c>
    </row>
    <row r="195" spans="1:12" ht="15.75" customHeight="1" x14ac:dyDescent="0.25">
      <c r="A195" s="27" t="s">
        <v>246</v>
      </c>
      <c r="B195" s="28" t="s">
        <v>888</v>
      </c>
      <c r="C195" s="28" t="s">
        <v>281</v>
      </c>
      <c r="D195" s="28"/>
      <c r="E195" s="79" t="s">
        <v>508</v>
      </c>
      <c r="F195" s="30" t="s">
        <v>281</v>
      </c>
      <c r="K195" s="27" t="b">
        <f>REGISTRO!F200=Hoja1!F195</f>
        <v>1</v>
      </c>
      <c r="L195">
        <v>194</v>
      </c>
    </row>
    <row r="196" spans="1:12" ht="15.75" customHeight="1" x14ac:dyDescent="0.25">
      <c r="A196" s="27" t="s">
        <v>246</v>
      </c>
      <c r="B196" s="28" t="s">
        <v>889</v>
      </c>
      <c r="C196" s="28" t="s">
        <v>281</v>
      </c>
      <c r="D196" s="28"/>
      <c r="E196" s="79" t="s">
        <v>508</v>
      </c>
      <c r="F196" s="30" t="s">
        <v>281</v>
      </c>
      <c r="K196" s="27" t="b">
        <f>REGISTRO!F201=Hoja1!F196</f>
        <v>1</v>
      </c>
      <c r="L196">
        <v>195</v>
      </c>
    </row>
    <row r="197" spans="1:12" ht="15.75" customHeight="1" x14ac:dyDescent="0.25">
      <c r="A197" s="27" t="s">
        <v>246</v>
      </c>
      <c r="B197" s="28" t="s">
        <v>890</v>
      </c>
      <c r="C197" s="28" t="s">
        <v>281</v>
      </c>
      <c r="D197" s="28"/>
      <c r="E197" s="79" t="s">
        <v>508</v>
      </c>
      <c r="F197" s="30" t="s">
        <v>281</v>
      </c>
      <c r="K197" s="27" t="b">
        <f>REGISTRO!F202=Hoja1!F197</f>
        <v>1</v>
      </c>
      <c r="L197">
        <v>196</v>
      </c>
    </row>
    <row r="198" spans="1:12" ht="15.75" customHeight="1" x14ac:dyDescent="0.25">
      <c r="A198" s="27" t="s">
        <v>246</v>
      </c>
      <c r="B198" s="28" t="s">
        <v>891</v>
      </c>
      <c r="C198" s="28" t="s">
        <v>281</v>
      </c>
      <c r="D198" s="28"/>
      <c r="E198" s="79" t="s">
        <v>508</v>
      </c>
      <c r="F198" s="35" t="s">
        <v>281</v>
      </c>
      <c r="K198" s="27" t="b">
        <f>REGISTRO!F203=Hoja1!F198</f>
        <v>1</v>
      </c>
      <c r="L198">
        <v>197</v>
      </c>
    </row>
    <row r="199" spans="1:12" ht="15.75" customHeight="1" x14ac:dyDescent="0.25">
      <c r="A199" s="27" t="s">
        <v>246</v>
      </c>
      <c r="B199" s="28" t="s">
        <v>892</v>
      </c>
      <c r="C199" s="28" t="s">
        <v>281</v>
      </c>
      <c r="D199" s="28"/>
      <c r="E199" s="79" t="s">
        <v>508</v>
      </c>
      <c r="F199" s="30" t="s">
        <v>281</v>
      </c>
      <c r="K199" s="27" t="b">
        <f>REGISTRO!F204=Hoja1!F199</f>
        <v>1</v>
      </c>
      <c r="L199">
        <v>198</v>
      </c>
    </row>
    <row r="200" spans="1:12" ht="15.75" customHeight="1" x14ac:dyDescent="0.25">
      <c r="A200" s="27" t="s">
        <v>246</v>
      </c>
      <c r="B200" s="28" t="s">
        <v>893</v>
      </c>
      <c r="C200" s="28" t="s">
        <v>281</v>
      </c>
      <c r="D200" s="28"/>
      <c r="E200" s="79" t="s">
        <v>508</v>
      </c>
      <c r="F200" s="30" t="s">
        <v>281</v>
      </c>
      <c r="K200" s="27" t="b">
        <f>REGISTRO!F205=Hoja1!F200</f>
        <v>1</v>
      </c>
      <c r="L200">
        <v>199</v>
      </c>
    </row>
    <row r="201" spans="1:12" ht="15.75" customHeight="1" x14ac:dyDescent="0.25">
      <c r="A201" s="27" t="s">
        <v>246</v>
      </c>
      <c r="B201" s="28" t="s">
        <v>894</v>
      </c>
      <c r="C201" s="28" t="s">
        <v>281</v>
      </c>
      <c r="D201" s="28"/>
      <c r="E201" s="79" t="s">
        <v>508</v>
      </c>
      <c r="F201" s="30" t="s">
        <v>281</v>
      </c>
      <c r="K201" s="27" t="b">
        <f>REGISTRO!F206=Hoja1!F201</f>
        <v>1</v>
      </c>
      <c r="L201">
        <v>200</v>
      </c>
    </row>
    <row r="202" spans="1:12" ht="15.75" customHeight="1" x14ac:dyDescent="0.25">
      <c r="A202" s="27" t="s">
        <v>246</v>
      </c>
      <c r="B202" s="28" t="s">
        <v>895</v>
      </c>
      <c r="C202" s="28" t="s">
        <v>281</v>
      </c>
      <c r="D202" s="28"/>
      <c r="E202" s="79" t="s">
        <v>508</v>
      </c>
      <c r="F202" s="30" t="s">
        <v>281</v>
      </c>
      <c r="K202" s="27" t="b">
        <f>REGISTRO!F207=Hoja1!F202</f>
        <v>1</v>
      </c>
      <c r="L202">
        <v>201</v>
      </c>
    </row>
    <row r="203" spans="1:12" ht="15.75" customHeight="1" x14ac:dyDescent="0.25">
      <c r="A203" s="27" t="s">
        <v>246</v>
      </c>
      <c r="B203" s="28" t="s">
        <v>896</v>
      </c>
      <c r="C203" s="28" t="s">
        <v>281</v>
      </c>
      <c r="D203" s="28"/>
      <c r="E203" s="79" t="s">
        <v>508</v>
      </c>
      <c r="F203" s="30" t="s">
        <v>281</v>
      </c>
      <c r="K203" s="27" t="b">
        <f>REGISTRO!F208=Hoja1!F203</f>
        <v>1</v>
      </c>
      <c r="L203">
        <v>202</v>
      </c>
    </row>
    <row r="204" spans="1:12" ht="15.75" customHeight="1" x14ac:dyDescent="0.25">
      <c r="A204" s="142" t="s">
        <v>76</v>
      </c>
      <c r="B204" s="141" t="s">
        <v>1208</v>
      </c>
      <c r="C204" s="28" t="s">
        <v>293</v>
      </c>
      <c r="D204" s="141" t="s">
        <v>1151</v>
      </c>
      <c r="E204" s="48" t="s">
        <v>1193</v>
      </c>
      <c r="F204" s="30" t="s">
        <v>293</v>
      </c>
      <c r="K204" s="27" t="b">
        <f>REGISTRO!F209=Hoja1!F204</f>
        <v>1</v>
      </c>
      <c r="L204">
        <v>203</v>
      </c>
    </row>
    <row r="205" spans="1:12" ht="15.75" customHeight="1" x14ac:dyDescent="0.25">
      <c r="A205" s="102" t="s">
        <v>76</v>
      </c>
      <c r="B205" s="140" t="s">
        <v>1209</v>
      </c>
      <c r="C205" s="28" t="s">
        <v>293</v>
      </c>
      <c r="D205" s="140" t="s">
        <v>1151</v>
      </c>
      <c r="E205" s="48" t="s">
        <v>1194</v>
      </c>
      <c r="F205" s="30" t="s">
        <v>293</v>
      </c>
      <c r="K205" s="27" t="b">
        <f>REGISTRO!F210=Hoja1!F205</f>
        <v>1</v>
      </c>
      <c r="L205">
        <v>204</v>
      </c>
    </row>
    <row r="206" spans="1:12" ht="15.75" customHeight="1" x14ac:dyDescent="0.25">
      <c r="A206" s="34" t="s">
        <v>292</v>
      </c>
      <c r="B206" s="28"/>
      <c r="C206" s="28" t="s">
        <v>293</v>
      </c>
      <c r="D206" s="28" t="s">
        <v>294</v>
      </c>
      <c r="E206" s="77" t="s">
        <v>558</v>
      </c>
      <c r="F206" s="30" t="s">
        <v>293</v>
      </c>
      <c r="K206" s="27" t="b">
        <f>REGISTRO!F211=Hoja1!F206</f>
        <v>1</v>
      </c>
      <c r="L206">
        <v>205</v>
      </c>
    </row>
    <row r="207" spans="1:12" ht="15.75" customHeight="1" x14ac:dyDescent="0.25">
      <c r="A207" s="34" t="s">
        <v>292</v>
      </c>
      <c r="B207" s="28"/>
      <c r="C207" s="28" t="s">
        <v>1197</v>
      </c>
      <c r="D207" s="28" t="s">
        <v>297</v>
      </c>
      <c r="E207" s="77" t="s">
        <v>559</v>
      </c>
      <c r="F207" s="30" t="s">
        <v>1197</v>
      </c>
      <c r="K207" s="27" t="b">
        <f>REGISTRO!F212=Hoja1!F207</f>
        <v>1</v>
      </c>
      <c r="L207">
        <v>206</v>
      </c>
    </row>
    <row r="208" spans="1:12" ht="15.75" customHeight="1" x14ac:dyDescent="0.25">
      <c r="A208" s="34" t="s">
        <v>292</v>
      </c>
      <c r="B208" s="28"/>
      <c r="C208" s="28" t="s">
        <v>1199</v>
      </c>
      <c r="D208" s="28" t="s">
        <v>1201</v>
      </c>
      <c r="E208" s="97" t="s">
        <v>1206</v>
      </c>
      <c r="F208" s="31" t="s">
        <v>1199</v>
      </c>
      <c r="K208" s="27" t="b">
        <f>REGISTRO!F213=Hoja1!F208</f>
        <v>1</v>
      </c>
      <c r="L208">
        <v>207</v>
      </c>
    </row>
    <row r="209" spans="1:12" ht="15.75" customHeight="1" x14ac:dyDescent="0.25">
      <c r="A209" s="34" t="s">
        <v>292</v>
      </c>
      <c r="B209" s="28"/>
      <c r="C209" s="28" t="s">
        <v>1198</v>
      </c>
      <c r="D209" s="28" t="s">
        <v>300</v>
      </c>
      <c r="E209" s="77" t="s">
        <v>559</v>
      </c>
      <c r="F209" s="31" t="s">
        <v>1198</v>
      </c>
      <c r="K209" s="27" t="b">
        <f>REGISTRO!F214=Hoja1!F209</f>
        <v>1</v>
      </c>
      <c r="L209">
        <v>208</v>
      </c>
    </row>
    <row r="210" spans="1:12" ht="15.75" customHeight="1" x14ac:dyDescent="0.25">
      <c r="A210" s="34" t="s">
        <v>292</v>
      </c>
      <c r="B210" s="28"/>
      <c r="C210" s="28" t="s">
        <v>1200</v>
      </c>
      <c r="D210" s="28" t="s">
        <v>1203</v>
      </c>
      <c r="E210" s="97" t="s">
        <v>1207</v>
      </c>
      <c r="F210" s="31" t="s">
        <v>1200</v>
      </c>
      <c r="K210" s="27" t="b">
        <f>REGISTRO!F215=Hoja1!F210</f>
        <v>1</v>
      </c>
      <c r="L210">
        <v>209</v>
      </c>
    </row>
    <row r="211" spans="1:12" ht="15.75" customHeight="1" x14ac:dyDescent="0.25">
      <c r="A211" s="34" t="s">
        <v>292</v>
      </c>
      <c r="B211" s="28"/>
      <c r="C211" s="28" t="s">
        <v>965</v>
      </c>
      <c r="D211" s="28"/>
      <c r="E211" s="93" t="s">
        <v>968</v>
      </c>
      <c r="F211" s="30" t="s">
        <v>965</v>
      </c>
      <c r="K211" s="27" t="b">
        <f>REGISTRO!F216=Hoja1!F211</f>
        <v>1</v>
      </c>
      <c r="L211">
        <v>210</v>
      </c>
    </row>
    <row r="212" spans="1:12" ht="15.75" customHeight="1" x14ac:dyDescent="0.25">
      <c r="A212" s="27" t="s">
        <v>292</v>
      </c>
      <c r="B212" s="28" t="s">
        <v>1357</v>
      </c>
      <c r="C212" s="28" t="s">
        <v>303</v>
      </c>
      <c r="D212" s="28" t="s">
        <v>304</v>
      </c>
      <c r="E212" s="47" t="s">
        <v>560</v>
      </c>
      <c r="F212" s="30" t="s">
        <v>303</v>
      </c>
      <c r="K212" s="27" t="b">
        <f>REGISTRO!F217=Hoja1!F212</f>
        <v>1</v>
      </c>
      <c r="L212">
        <v>211</v>
      </c>
    </row>
    <row r="213" spans="1:12" ht="15.75" customHeight="1" x14ac:dyDescent="0.25">
      <c r="A213" s="27" t="s">
        <v>292</v>
      </c>
      <c r="B213" s="28" t="s">
        <v>1050</v>
      </c>
      <c r="C213" s="28" t="s">
        <v>303</v>
      </c>
      <c r="D213" s="28" t="s">
        <v>304</v>
      </c>
      <c r="E213" s="47" t="s">
        <v>561</v>
      </c>
      <c r="F213" s="30" t="s">
        <v>303</v>
      </c>
      <c r="K213" s="27" t="b">
        <f>REGISTRO!F218=Hoja1!F213</f>
        <v>1</v>
      </c>
      <c r="L213">
        <v>212</v>
      </c>
    </row>
    <row r="214" spans="1:12" ht="15.75" customHeight="1" x14ac:dyDescent="0.25">
      <c r="A214" s="34" t="s">
        <v>292</v>
      </c>
      <c r="B214" s="28" t="s">
        <v>1358</v>
      </c>
      <c r="C214" s="28" t="s">
        <v>303</v>
      </c>
      <c r="D214" s="28" t="s">
        <v>304</v>
      </c>
      <c r="E214" s="47" t="s">
        <v>1144</v>
      </c>
      <c r="F214" s="30" t="s">
        <v>303</v>
      </c>
      <c r="K214" s="27" t="b">
        <f>REGISTRO!F219=Hoja1!F214</f>
        <v>1</v>
      </c>
      <c r="L214">
        <v>213</v>
      </c>
    </row>
    <row r="215" spans="1:12" ht="15.75" customHeight="1" x14ac:dyDescent="0.25">
      <c r="A215" s="27" t="s">
        <v>292</v>
      </c>
      <c r="B215" s="28" t="s">
        <v>943</v>
      </c>
      <c r="C215" s="28" t="s">
        <v>303</v>
      </c>
      <c r="D215" s="28" t="s">
        <v>310</v>
      </c>
      <c r="E215" s="47" t="s">
        <v>562</v>
      </c>
      <c r="F215" s="30" t="s">
        <v>303</v>
      </c>
      <c r="K215" s="27" t="b">
        <f>REGISTRO!F220=Hoja1!F215</f>
        <v>1</v>
      </c>
      <c r="L215">
        <v>214</v>
      </c>
    </row>
    <row r="216" spans="1:12" ht="15.75" customHeight="1" x14ac:dyDescent="0.25">
      <c r="A216" s="27" t="s">
        <v>292</v>
      </c>
      <c r="B216" s="28" t="s">
        <v>944</v>
      </c>
      <c r="C216" s="28" t="s">
        <v>303</v>
      </c>
      <c r="D216" s="28" t="s">
        <v>313</v>
      </c>
      <c r="E216" s="47" t="s">
        <v>956</v>
      </c>
      <c r="F216" s="30" t="s">
        <v>303</v>
      </c>
      <c r="K216" s="27" t="b">
        <f>REGISTRO!F221=Hoja1!F216</f>
        <v>1</v>
      </c>
      <c r="L216">
        <v>215</v>
      </c>
    </row>
    <row r="217" spans="1:12" ht="15.75" customHeight="1" x14ac:dyDescent="0.25">
      <c r="A217" s="34" t="s">
        <v>292</v>
      </c>
      <c r="B217" s="28" t="s">
        <v>1359</v>
      </c>
      <c r="C217" s="28" t="s">
        <v>303</v>
      </c>
      <c r="D217" s="28" t="s">
        <v>314</v>
      </c>
      <c r="E217" s="47" t="s">
        <v>957</v>
      </c>
      <c r="F217" s="30" t="s">
        <v>303</v>
      </c>
      <c r="K217" s="27" t="b">
        <f>REGISTRO!F222=Hoja1!F217</f>
        <v>1</v>
      </c>
      <c r="L217">
        <v>216</v>
      </c>
    </row>
    <row r="218" spans="1:12" ht="15.75" customHeight="1" x14ac:dyDescent="0.25">
      <c r="A218" s="34" t="s">
        <v>292</v>
      </c>
      <c r="B218" s="28" t="s">
        <v>946</v>
      </c>
      <c r="C218" s="28" t="s">
        <v>303</v>
      </c>
      <c r="D218" s="28">
        <v>19092000250</v>
      </c>
      <c r="E218" s="49" t="s">
        <v>959</v>
      </c>
      <c r="F218" s="30" t="s">
        <v>303</v>
      </c>
      <c r="K218" s="27" t="b">
        <f>REGISTRO!F223=Hoja1!F218</f>
        <v>1</v>
      </c>
      <c r="L218">
        <v>217</v>
      </c>
    </row>
    <row r="219" spans="1:12" ht="15.75" customHeight="1" x14ac:dyDescent="0.25">
      <c r="A219" s="34" t="s">
        <v>292</v>
      </c>
      <c r="B219" s="28" t="s">
        <v>947</v>
      </c>
      <c r="C219" s="28" t="s">
        <v>303</v>
      </c>
      <c r="D219" s="28">
        <v>19092000250</v>
      </c>
      <c r="E219" s="50" t="s">
        <v>963</v>
      </c>
      <c r="F219" s="30" t="s">
        <v>303</v>
      </c>
      <c r="K219" s="27" t="b">
        <f>REGISTRO!F224=Hoja1!F219</f>
        <v>1</v>
      </c>
      <c r="L219">
        <v>218</v>
      </c>
    </row>
    <row r="220" spans="1:12" ht="15.75" customHeight="1" x14ac:dyDescent="0.25">
      <c r="A220" s="34" t="s">
        <v>292</v>
      </c>
      <c r="B220" s="28" t="s">
        <v>948</v>
      </c>
      <c r="C220" s="28" t="s">
        <v>303</v>
      </c>
      <c r="D220" s="28">
        <v>19092000250</v>
      </c>
      <c r="E220" s="51" t="s">
        <v>962</v>
      </c>
      <c r="F220" s="30" t="s">
        <v>303</v>
      </c>
      <c r="K220" s="27" t="b">
        <f>REGISTRO!F225=Hoja1!F220</f>
        <v>1</v>
      </c>
      <c r="L220">
        <v>219</v>
      </c>
    </row>
    <row r="221" spans="1:12" ht="15.75" customHeight="1" x14ac:dyDescent="0.25">
      <c r="A221" s="34" t="s">
        <v>292</v>
      </c>
      <c r="B221" s="28" t="s">
        <v>955</v>
      </c>
      <c r="C221" s="79" t="s">
        <v>327</v>
      </c>
      <c r="D221" s="28"/>
      <c r="E221" s="51" t="s">
        <v>963</v>
      </c>
      <c r="F221" s="78" t="s">
        <v>327</v>
      </c>
      <c r="K221" s="27" t="b">
        <f>REGISTRO!F226=Hoja1!F221</f>
        <v>1</v>
      </c>
      <c r="L221">
        <v>220</v>
      </c>
    </row>
    <row r="222" spans="1:12" ht="15.75" customHeight="1" x14ac:dyDescent="0.25">
      <c r="A222" s="34" t="s">
        <v>292</v>
      </c>
      <c r="B222" s="28" t="s">
        <v>949</v>
      </c>
      <c r="C222" s="28" t="s">
        <v>303</v>
      </c>
      <c r="D222" s="28">
        <v>19092000250</v>
      </c>
      <c r="E222" s="49" t="s">
        <v>960</v>
      </c>
      <c r="F222" s="36" t="s">
        <v>303</v>
      </c>
      <c r="K222" s="27" t="b">
        <f>REGISTRO!F227=Hoja1!F222</f>
        <v>1</v>
      </c>
      <c r="L222">
        <v>221</v>
      </c>
    </row>
    <row r="223" spans="1:12" ht="15.75" customHeight="1" x14ac:dyDescent="0.25">
      <c r="A223" s="34" t="s">
        <v>292</v>
      </c>
      <c r="B223" s="28" t="s">
        <v>950</v>
      </c>
      <c r="C223" s="28" t="s">
        <v>303</v>
      </c>
      <c r="D223" s="28">
        <v>19092000250</v>
      </c>
      <c r="E223" s="49" t="s">
        <v>961</v>
      </c>
      <c r="F223" s="30" t="s">
        <v>303</v>
      </c>
      <c r="K223" s="27" t="b">
        <f>REGISTRO!F228=Hoja1!F223</f>
        <v>1</v>
      </c>
      <c r="L223">
        <v>222</v>
      </c>
    </row>
    <row r="224" spans="1:12" ht="15.75" customHeight="1" x14ac:dyDescent="0.25">
      <c r="A224" s="34" t="s">
        <v>292</v>
      </c>
      <c r="B224" s="28" t="s">
        <v>951</v>
      </c>
      <c r="C224" s="28" t="s">
        <v>303</v>
      </c>
      <c r="D224" s="28">
        <v>19092000250</v>
      </c>
      <c r="E224" s="49" t="s">
        <v>958</v>
      </c>
      <c r="F224" s="30" t="s">
        <v>303</v>
      </c>
      <c r="K224" s="27" t="b">
        <f>REGISTRO!F229=Hoja1!F224</f>
        <v>1</v>
      </c>
      <c r="L224">
        <v>223</v>
      </c>
    </row>
    <row r="225" spans="1:12" ht="15.75" customHeight="1" x14ac:dyDescent="0.25">
      <c r="A225" s="34" t="s">
        <v>292</v>
      </c>
      <c r="B225" s="28" t="s">
        <v>952</v>
      </c>
      <c r="C225" s="28" t="s">
        <v>321</v>
      </c>
      <c r="D225" s="28">
        <v>19092000250</v>
      </c>
      <c r="E225" s="47" t="s">
        <v>1083</v>
      </c>
      <c r="F225" s="30" t="s">
        <v>321</v>
      </c>
      <c r="K225" s="27" t="b">
        <f>REGISTRO!F230=Hoja1!F225</f>
        <v>1</v>
      </c>
      <c r="L225">
        <v>224</v>
      </c>
    </row>
    <row r="226" spans="1:12" ht="15.75" customHeight="1" x14ac:dyDescent="0.25">
      <c r="A226" s="34" t="s">
        <v>292</v>
      </c>
      <c r="B226" s="28" t="s">
        <v>953</v>
      </c>
      <c r="C226" s="28" t="s">
        <v>321</v>
      </c>
      <c r="D226" s="28">
        <v>19092000250</v>
      </c>
      <c r="E226" s="47" t="s">
        <v>1084</v>
      </c>
      <c r="F226" s="30" t="s">
        <v>321</v>
      </c>
      <c r="K226" s="27" t="b">
        <f>REGISTRO!F231=Hoja1!F226</f>
        <v>1</v>
      </c>
      <c r="L226">
        <v>225</v>
      </c>
    </row>
    <row r="227" spans="1:12" ht="15.75" customHeight="1" x14ac:dyDescent="0.25">
      <c r="A227" s="34" t="s">
        <v>292</v>
      </c>
      <c r="B227" s="28" t="s">
        <v>954</v>
      </c>
      <c r="C227" s="28" t="s">
        <v>321</v>
      </c>
      <c r="D227" s="28">
        <v>19092000250</v>
      </c>
      <c r="E227" s="47" t="s">
        <v>1085</v>
      </c>
      <c r="F227" s="30" t="s">
        <v>321</v>
      </c>
      <c r="K227" s="27" t="b">
        <f>REGISTRO!F232=Hoja1!F227</f>
        <v>1</v>
      </c>
      <c r="L227">
        <v>226</v>
      </c>
    </row>
    <row r="228" spans="1:12" ht="15.75" customHeight="1" x14ac:dyDescent="0.25">
      <c r="A228" s="34" t="s">
        <v>292</v>
      </c>
      <c r="B228" s="28" t="s">
        <v>1028</v>
      </c>
      <c r="C228" s="28" t="s">
        <v>303</v>
      </c>
      <c r="D228" s="28" t="s">
        <v>1036</v>
      </c>
      <c r="E228" s="47" t="s">
        <v>1031</v>
      </c>
      <c r="F228" s="30" t="s">
        <v>303</v>
      </c>
      <c r="K228" s="27" t="b">
        <f>REGISTRO!F233=Hoja1!F228</f>
        <v>1</v>
      </c>
      <c r="L228">
        <v>227</v>
      </c>
    </row>
    <row r="229" spans="1:12" ht="15.75" customHeight="1" x14ac:dyDescent="0.25">
      <c r="A229" s="34" t="s">
        <v>292</v>
      </c>
      <c r="B229" s="28" t="s">
        <v>1029</v>
      </c>
      <c r="C229" s="28" t="s">
        <v>303</v>
      </c>
      <c r="D229" s="28" t="s">
        <v>1036</v>
      </c>
      <c r="E229" s="47" t="s">
        <v>1032</v>
      </c>
      <c r="F229" s="30" t="s">
        <v>303</v>
      </c>
      <c r="K229" s="27" t="b">
        <f>REGISTRO!F234=Hoja1!F229</f>
        <v>1</v>
      </c>
      <c r="L229">
        <v>228</v>
      </c>
    </row>
    <row r="230" spans="1:12" ht="15.75" customHeight="1" x14ac:dyDescent="0.25">
      <c r="A230" s="34" t="s">
        <v>292</v>
      </c>
      <c r="B230" s="28" t="s">
        <v>1158</v>
      </c>
      <c r="C230" s="28" t="s">
        <v>1159</v>
      </c>
      <c r="D230" s="28" t="s">
        <v>378</v>
      </c>
      <c r="E230" s="48" t="s">
        <v>1190</v>
      </c>
      <c r="F230" s="30" t="s">
        <v>1159</v>
      </c>
      <c r="K230" s="27" t="b">
        <f>REGISTRO!F235=Hoja1!F230</f>
        <v>1</v>
      </c>
      <c r="L230">
        <v>229</v>
      </c>
    </row>
    <row r="231" spans="1:12" ht="15.75" customHeight="1" x14ac:dyDescent="0.25">
      <c r="A231" s="34" t="s">
        <v>292</v>
      </c>
      <c r="B231" s="28" t="s">
        <v>1210</v>
      </c>
      <c r="C231" s="28" t="s">
        <v>1211</v>
      </c>
      <c r="D231" s="28"/>
      <c r="E231" s="48" t="s">
        <v>1302</v>
      </c>
      <c r="F231" s="30" t="s">
        <v>1211</v>
      </c>
      <c r="K231" s="27" t="b">
        <f>REGISTRO!F236=Hoja1!F231</f>
        <v>1</v>
      </c>
      <c r="L231">
        <v>230</v>
      </c>
    </row>
    <row r="232" spans="1:12" ht="15.75" customHeight="1" x14ac:dyDescent="0.25">
      <c r="A232" s="34" t="s">
        <v>292</v>
      </c>
      <c r="B232" s="28" t="s">
        <v>1339</v>
      </c>
      <c r="C232" s="28" t="s">
        <v>321</v>
      </c>
      <c r="D232" s="28">
        <v>19092000250</v>
      </c>
      <c r="E232" s="48" t="s">
        <v>1347</v>
      </c>
      <c r="F232" s="30" t="s">
        <v>321</v>
      </c>
      <c r="K232" s="27" t="b">
        <f>REGISTRO!F237=Hoja1!F232</f>
        <v>1</v>
      </c>
      <c r="L232">
        <v>231</v>
      </c>
    </row>
    <row r="233" spans="1:12" ht="15.75" customHeight="1" x14ac:dyDescent="0.25">
      <c r="A233" s="34" t="s">
        <v>292</v>
      </c>
      <c r="B233" s="28" t="s">
        <v>1340</v>
      </c>
      <c r="C233" s="28" t="s">
        <v>321</v>
      </c>
      <c r="D233" s="28">
        <v>19092000250</v>
      </c>
      <c r="E233" s="48" t="s">
        <v>1348</v>
      </c>
      <c r="F233" s="30" t="s">
        <v>321</v>
      </c>
      <c r="K233" s="27" t="b">
        <f>REGISTRO!F238=Hoja1!F233</f>
        <v>1</v>
      </c>
      <c r="L233">
        <v>232</v>
      </c>
    </row>
    <row r="234" spans="1:12" ht="15.75" customHeight="1" x14ac:dyDescent="0.25">
      <c r="A234" s="34" t="s">
        <v>292</v>
      </c>
      <c r="B234" s="28" t="s">
        <v>1341</v>
      </c>
      <c r="C234" s="28" t="s">
        <v>321</v>
      </c>
      <c r="D234" s="28">
        <v>19092000250</v>
      </c>
      <c r="E234" s="48" t="s">
        <v>1349</v>
      </c>
      <c r="F234" s="30" t="s">
        <v>321</v>
      </c>
      <c r="K234" s="27" t="b">
        <f>REGISTRO!F239=Hoja1!F234</f>
        <v>1</v>
      </c>
      <c r="L234">
        <v>233</v>
      </c>
    </row>
    <row r="235" spans="1:12" ht="15.75" customHeight="1" x14ac:dyDescent="0.25">
      <c r="A235" s="34" t="s">
        <v>292</v>
      </c>
      <c r="B235" s="28" t="s">
        <v>1342</v>
      </c>
      <c r="C235" s="28" t="s">
        <v>321</v>
      </c>
      <c r="D235" s="28">
        <v>19092000250</v>
      </c>
      <c r="E235" s="48" t="s">
        <v>1350</v>
      </c>
      <c r="F235" s="30" t="s">
        <v>321</v>
      </c>
      <c r="K235" s="27" t="b">
        <f>REGISTRO!F240=Hoja1!F235</f>
        <v>1</v>
      </c>
      <c r="L235">
        <v>234</v>
      </c>
    </row>
    <row r="236" spans="1:12" ht="15.75" customHeight="1" x14ac:dyDescent="0.25">
      <c r="A236" s="34" t="s">
        <v>292</v>
      </c>
      <c r="B236" s="28" t="s">
        <v>1343</v>
      </c>
      <c r="C236" s="28" t="s">
        <v>321</v>
      </c>
      <c r="D236" s="28">
        <v>19092000250</v>
      </c>
      <c r="E236" s="48" t="s">
        <v>1351</v>
      </c>
      <c r="F236" s="30" t="s">
        <v>321</v>
      </c>
      <c r="K236" s="27" t="b">
        <f>REGISTRO!F241=Hoja1!F236</f>
        <v>1</v>
      </c>
      <c r="L236">
        <v>235</v>
      </c>
    </row>
    <row r="237" spans="1:12" ht="15.75" customHeight="1" x14ac:dyDescent="0.25">
      <c r="A237" s="34" t="s">
        <v>292</v>
      </c>
      <c r="B237" s="28" t="s">
        <v>1344</v>
      </c>
      <c r="C237" s="28" t="s">
        <v>321</v>
      </c>
      <c r="D237" s="28">
        <v>19092000250</v>
      </c>
      <c r="E237" s="48" t="s">
        <v>1352</v>
      </c>
      <c r="F237" s="30" t="s">
        <v>321</v>
      </c>
      <c r="K237" s="27" t="b">
        <f>REGISTRO!F242=Hoja1!F237</f>
        <v>1</v>
      </c>
      <c r="L237">
        <v>236</v>
      </c>
    </row>
    <row r="238" spans="1:12" ht="15.75" customHeight="1" x14ac:dyDescent="0.25">
      <c r="A238" s="34" t="s">
        <v>292</v>
      </c>
      <c r="B238" s="28" t="s">
        <v>1345</v>
      </c>
      <c r="C238" s="28" t="s">
        <v>321</v>
      </c>
      <c r="D238" s="28">
        <v>19092000250</v>
      </c>
      <c r="E238" s="48" t="s">
        <v>1353</v>
      </c>
      <c r="F238" s="30" t="s">
        <v>321</v>
      </c>
      <c r="K238" s="27" t="b">
        <f>REGISTRO!F243=Hoja1!F238</f>
        <v>1</v>
      </c>
      <c r="L238">
        <v>237</v>
      </c>
    </row>
    <row r="239" spans="1:12" ht="15.75" customHeight="1" x14ac:dyDescent="0.25">
      <c r="A239" s="34" t="s">
        <v>292</v>
      </c>
      <c r="B239" s="28" t="s">
        <v>1346</v>
      </c>
      <c r="C239" s="28" t="s">
        <v>321</v>
      </c>
      <c r="D239" s="28">
        <v>19092000250</v>
      </c>
      <c r="E239" s="48" t="s">
        <v>1354</v>
      </c>
      <c r="F239" s="30" t="s">
        <v>321</v>
      </c>
      <c r="K239" s="27" t="b">
        <f>REGISTRO!F244=Hoja1!F239</f>
        <v>1</v>
      </c>
      <c r="L239">
        <v>238</v>
      </c>
    </row>
    <row r="240" spans="1:12" ht="15.75" customHeight="1" x14ac:dyDescent="0.25">
      <c r="A240" s="27" t="s">
        <v>292</v>
      </c>
      <c r="B240" s="28"/>
      <c r="C240" s="28" t="s">
        <v>323</v>
      </c>
      <c r="D240" s="28" t="s">
        <v>324</v>
      </c>
      <c r="E240" s="77" t="s">
        <v>563</v>
      </c>
      <c r="F240" s="30" t="s">
        <v>323</v>
      </c>
      <c r="K240" s="27" t="b">
        <f>REGISTRO!F245=Hoja1!F240</f>
        <v>1</v>
      </c>
      <c r="L240">
        <v>239</v>
      </c>
    </row>
    <row r="241" spans="1:12" ht="15.75" customHeight="1" x14ac:dyDescent="0.25">
      <c r="A241" s="27" t="s">
        <v>292</v>
      </c>
      <c r="B241" s="79" t="s">
        <v>329</v>
      </c>
      <c r="C241" s="79" t="s">
        <v>330</v>
      </c>
      <c r="D241" s="28" t="s">
        <v>331</v>
      </c>
      <c r="E241" s="77" t="s">
        <v>564</v>
      </c>
      <c r="F241" s="31" t="s">
        <v>330</v>
      </c>
      <c r="K241" s="27" t="b">
        <f>REGISTRO!F246=Hoja1!F241</f>
        <v>1</v>
      </c>
      <c r="L241">
        <v>240</v>
      </c>
    </row>
    <row r="242" spans="1:12" ht="15.75" customHeight="1" x14ac:dyDescent="0.25">
      <c r="A242" s="27" t="s">
        <v>292</v>
      </c>
      <c r="B242" s="79" t="s">
        <v>754</v>
      </c>
      <c r="C242" s="145" t="s">
        <v>764</v>
      </c>
      <c r="D242" s="28"/>
      <c r="E242" s="93" t="s">
        <v>759</v>
      </c>
      <c r="F242" s="31" t="s">
        <v>764</v>
      </c>
      <c r="K242" s="27" t="b">
        <f>REGISTRO!F247=Hoja1!F242</f>
        <v>1</v>
      </c>
      <c r="L242">
        <v>241</v>
      </c>
    </row>
    <row r="243" spans="1:12" ht="15.75" customHeight="1" x14ac:dyDescent="0.25">
      <c r="A243" s="27" t="s">
        <v>292</v>
      </c>
      <c r="B243" s="79" t="s">
        <v>757</v>
      </c>
      <c r="C243" s="145" t="s">
        <v>753</v>
      </c>
      <c r="D243" s="28"/>
      <c r="E243" s="81" t="s">
        <v>565</v>
      </c>
      <c r="F243" s="31" t="s">
        <v>753</v>
      </c>
      <c r="K243" s="27" t="b">
        <f>REGISTRO!F248=Hoja1!F243</f>
        <v>1</v>
      </c>
      <c r="L243">
        <v>242</v>
      </c>
    </row>
    <row r="244" spans="1:12" ht="15.75" customHeight="1" x14ac:dyDescent="0.25">
      <c r="A244" s="27" t="s">
        <v>292</v>
      </c>
      <c r="B244" s="79" t="s">
        <v>755</v>
      </c>
      <c r="C244" s="145" t="s">
        <v>763</v>
      </c>
      <c r="D244" s="28"/>
      <c r="E244" s="81" t="s">
        <v>760</v>
      </c>
      <c r="F244" s="31" t="s">
        <v>763</v>
      </c>
      <c r="K244" s="27" t="b">
        <f>REGISTRO!F249=Hoja1!F244</f>
        <v>1</v>
      </c>
      <c r="L244">
        <v>243</v>
      </c>
    </row>
    <row r="245" spans="1:12" ht="15.75" customHeight="1" x14ac:dyDescent="0.25">
      <c r="A245" s="27" t="s">
        <v>292</v>
      </c>
      <c r="B245" s="79" t="s">
        <v>756</v>
      </c>
      <c r="C245" s="145" t="s">
        <v>765</v>
      </c>
      <c r="D245" s="28"/>
      <c r="E245" s="80" t="s">
        <v>761</v>
      </c>
      <c r="F245" s="31" t="s">
        <v>765</v>
      </c>
      <c r="K245" s="27" t="b">
        <f>REGISTRO!F250=Hoja1!F245</f>
        <v>1</v>
      </c>
      <c r="L245">
        <v>244</v>
      </c>
    </row>
    <row r="246" spans="1:12" ht="15.75" customHeight="1" x14ac:dyDescent="0.25">
      <c r="A246" s="27" t="s">
        <v>292</v>
      </c>
      <c r="B246" s="79" t="s">
        <v>758</v>
      </c>
      <c r="C246" s="145" t="s">
        <v>766</v>
      </c>
      <c r="D246" s="28"/>
      <c r="E246" s="80" t="s">
        <v>762</v>
      </c>
      <c r="F246" s="31" t="s">
        <v>766</v>
      </c>
      <c r="K246" s="27" t="b">
        <f>REGISTRO!F251=Hoja1!F246</f>
        <v>1</v>
      </c>
      <c r="L246">
        <v>245</v>
      </c>
    </row>
    <row r="247" spans="1:12" ht="15.75" customHeight="1" x14ac:dyDescent="0.25">
      <c r="A247" s="27" t="s">
        <v>292</v>
      </c>
      <c r="B247" s="79" t="s">
        <v>336</v>
      </c>
      <c r="C247" s="79" t="s">
        <v>337</v>
      </c>
      <c r="D247" s="28">
        <v>482438</v>
      </c>
      <c r="E247" s="80" t="s">
        <v>566</v>
      </c>
      <c r="F247" s="30" t="s">
        <v>337</v>
      </c>
      <c r="K247" s="27" t="b">
        <f>REGISTRO!F252=Hoja1!F247</f>
        <v>1</v>
      </c>
      <c r="L247">
        <v>246</v>
      </c>
    </row>
    <row r="248" spans="1:12" ht="15.75" customHeight="1" x14ac:dyDescent="0.25">
      <c r="A248" s="34" t="s">
        <v>292</v>
      </c>
      <c r="B248" s="79" t="s">
        <v>341</v>
      </c>
      <c r="C248" s="79" t="s">
        <v>342</v>
      </c>
      <c r="D248" s="28" t="s">
        <v>343</v>
      </c>
      <c r="E248" s="80" t="s">
        <v>1100</v>
      </c>
      <c r="F248" s="30" t="s">
        <v>342</v>
      </c>
      <c r="K248" s="27" t="b">
        <f>REGISTRO!F253=Hoja1!F248</f>
        <v>1</v>
      </c>
      <c r="L248">
        <v>247</v>
      </c>
    </row>
    <row r="249" spans="1:12" ht="15.75" customHeight="1" x14ac:dyDescent="0.25">
      <c r="A249" s="27" t="s">
        <v>292</v>
      </c>
      <c r="B249" s="79" t="s">
        <v>349</v>
      </c>
      <c r="C249" s="79" t="s">
        <v>350</v>
      </c>
      <c r="D249" s="28" t="s">
        <v>351</v>
      </c>
      <c r="E249" s="80" t="s">
        <v>637</v>
      </c>
      <c r="F249" s="36" t="s">
        <v>350</v>
      </c>
      <c r="K249" s="27" t="b">
        <f>REGISTRO!F254=Hoja1!F249</f>
        <v>1</v>
      </c>
      <c r="L249">
        <v>248</v>
      </c>
    </row>
    <row r="250" spans="1:12" ht="15.75" customHeight="1" x14ac:dyDescent="0.25">
      <c r="A250" s="27" t="s">
        <v>292</v>
      </c>
      <c r="B250" s="79" t="s">
        <v>775</v>
      </c>
      <c r="C250" s="79" t="s">
        <v>354</v>
      </c>
      <c r="D250" s="28" t="s">
        <v>776</v>
      </c>
      <c r="E250" s="80" t="s">
        <v>752</v>
      </c>
      <c r="F250" s="31" t="s">
        <v>354</v>
      </c>
      <c r="K250" s="27" t="b">
        <f>REGISTRO!F255=Hoja1!F250</f>
        <v>1</v>
      </c>
      <c r="L250">
        <v>249</v>
      </c>
    </row>
    <row r="251" spans="1:12" ht="15.75" customHeight="1" x14ac:dyDescent="0.25">
      <c r="A251" s="27" t="s">
        <v>292</v>
      </c>
      <c r="B251" s="79" t="s">
        <v>777</v>
      </c>
      <c r="C251" s="79" t="s">
        <v>354</v>
      </c>
      <c r="D251" s="28" t="s">
        <v>778</v>
      </c>
      <c r="E251" s="80" t="s">
        <v>796</v>
      </c>
      <c r="F251" s="31" t="s">
        <v>354</v>
      </c>
      <c r="K251" s="27" t="b">
        <f>REGISTRO!F256=Hoja1!F251</f>
        <v>1</v>
      </c>
      <c r="L251">
        <v>250</v>
      </c>
    </row>
    <row r="252" spans="1:12" ht="15.75" customHeight="1" x14ac:dyDescent="0.25">
      <c r="A252" s="27" t="s">
        <v>292</v>
      </c>
      <c r="B252" s="79" t="s">
        <v>731</v>
      </c>
      <c r="C252" s="79" t="s">
        <v>356</v>
      </c>
      <c r="D252" s="28" t="s">
        <v>730</v>
      </c>
      <c r="E252" s="88" t="s">
        <v>568</v>
      </c>
      <c r="F252" s="31" t="s">
        <v>356</v>
      </c>
      <c r="K252" s="27" t="b">
        <f>REGISTRO!F257=Hoja1!F252</f>
        <v>1</v>
      </c>
      <c r="L252">
        <v>251</v>
      </c>
    </row>
    <row r="253" spans="1:12" ht="15.75" customHeight="1" x14ac:dyDescent="0.25">
      <c r="A253" s="34" t="s">
        <v>292</v>
      </c>
      <c r="B253" s="79" t="s">
        <v>732</v>
      </c>
      <c r="C253" s="79" t="s">
        <v>356</v>
      </c>
      <c r="D253" s="39" t="s">
        <v>734</v>
      </c>
      <c r="E253" s="88" t="s">
        <v>739</v>
      </c>
      <c r="F253" s="37" t="s">
        <v>356</v>
      </c>
      <c r="K253" s="27" t="b">
        <f>REGISTRO!F258=Hoja1!F253</f>
        <v>1</v>
      </c>
      <c r="L253">
        <v>252</v>
      </c>
    </row>
    <row r="254" spans="1:12" ht="15.75" customHeight="1" x14ac:dyDescent="0.25">
      <c r="A254" s="34" t="s">
        <v>292</v>
      </c>
      <c r="B254" s="79" t="s">
        <v>733</v>
      </c>
      <c r="C254" s="79" t="s">
        <v>356</v>
      </c>
      <c r="D254" s="39" t="s">
        <v>735</v>
      </c>
      <c r="E254" s="88" t="s">
        <v>740</v>
      </c>
      <c r="F254" s="37" t="s">
        <v>356</v>
      </c>
      <c r="K254" s="27" t="b">
        <f>REGISTRO!F259=Hoja1!F254</f>
        <v>1</v>
      </c>
      <c r="L254">
        <v>253</v>
      </c>
    </row>
    <row r="255" spans="1:12" ht="15.75" customHeight="1" x14ac:dyDescent="0.25">
      <c r="A255" s="34" t="s">
        <v>292</v>
      </c>
      <c r="B255" s="79" t="s">
        <v>358</v>
      </c>
      <c r="C255" s="79" t="s">
        <v>359</v>
      </c>
      <c r="D255" s="28">
        <v>92512</v>
      </c>
      <c r="E255" s="88" t="s">
        <v>750</v>
      </c>
      <c r="F255" s="31" t="s">
        <v>359</v>
      </c>
      <c r="K255" s="27" t="b">
        <f>REGISTRO!F260=Hoja1!F255</f>
        <v>1</v>
      </c>
      <c r="L255">
        <v>254</v>
      </c>
    </row>
    <row r="256" spans="1:12" ht="15.75" customHeight="1" x14ac:dyDescent="0.25">
      <c r="A256" s="34" t="s">
        <v>292</v>
      </c>
      <c r="B256" s="79" t="s">
        <v>362</v>
      </c>
      <c r="C256" s="79" t="s">
        <v>363</v>
      </c>
      <c r="D256" s="28">
        <v>452408</v>
      </c>
      <c r="E256" s="88" t="s">
        <v>751</v>
      </c>
      <c r="F256" s="31" t="s">
        <v>363</v>
      </c>
      <c r="K256" s="27" t="b">
        <f>REGISTRO!F261=Hoja1!F256</f>
        <v>1</v>
      </c>
      <c r="L256">
        <v>255</v>
      </c>
    </row>
    <row r="257" spans="1:12" ht="15.75" customHeight="1" x14ac:dyDescent="0.25">
      <c r="A257" s="34" t="s">
        <v>292</v>
      </c>
      <c r="B257" s="79" t="s">
        <v>1110</v>
      </c>
      <c r="C257" s="79" t="s">
        <v>373</v>
      </c>
      <c r="D257" s="28" t="s">
        <v>374</v>
      </c>
      <c r="E257" s="88" t="s">
        <v>569</v>
      </c>
      <c r="F257" s="31" t="s">
        <v>373</v>
      </c>
      <c r="K257" s="27" t="b">
        <f>REGISTRO!F262=Hoja1!F257</f>
        <v>1</v>
      </c>
      <c r="L257">
        <v>256</v>
      </c>
    </row>
    <row r="258" spans="1:12" ht="15.75" customHeight="1" x14ac:dyDescent="0.25">
      <c r="A258" s="34" t="s">
        <v>292</v>
      </c>
      <c r="B258" s="79" t="s">
        <v>1111</v>
      </c>
      <c r="C258" s="79" t="s">
        <v>1112</v>
      </c>
      <c r="D258" s="28" t="s">
        <v>1113</v>
      </c>
      <c r="E258" s="88" t="s">
        <v>1115</v>
      </c>
      <c r="F258" s="31" t="s">
        <v>1112</v>
      </c>
      <c r="K258" s="27" t="b">
        <f>REGISTRO!F263=Hoja1!F258</f>
        <v>1</v>
      </c>
      <c r="L258">
        <v>257</v>
      </c>
    </row>
    <row r="259" spans="1:12" ht="15.75" customHeight="1" x14ac:dyDescent="0.25">
      <c r="A259" s="34" t="s">
        <v>292</v>
      </c>
      <c r="B259" s="79" t="s">
        <v>376</v>
      </c>
      <c r="C259" s="79" t="s">
        <v>377</v>
      </c>
      <c r="D259" s="28"/>
      <c r="E259" s="81" t="s">
        <v>570</v>
      </c>
      <c r="F259" s="31" t="s">
        <v>377</v>
      </c>
      <c r="K259" s="27" t="b">
        <f>REGISTRO!F264=Hoja1!F259</f>
        <v>1</v>
      </c>
      <c r="L259">
        <v>258</v>
      </c>
    </row>
    <row r="260" spans="1:12" ht="15.75" customHeight="1" x14ac:dyDescent="0.25">
      <c r="A260" s="27" t="s">
        <v>292</v>
      </c>
      <c r="B260" s="79" t="s">
        <v>611</v>
      </c>
      <c r="C260" s="79" t="s">
        <v>346</v>
      </c>
      <c r="D260" s="28">
        <v>382403</v>
      </c>
      <c r="E260" s="81" t="s">
        <v>567</v>
      </c>
      <c r="F260" s="30" t="s">
        <v>346</v>
      </c>
      <c r="K260" s="27" t="b">
        <f>REGISTRO!F265=Hoja1!F260</f>
        <v>1</v>
      </c>
      <c r="L260">
        <v>259</v>
      </c>
    </row>
    <row r="261" spans="1:12" ht="15.75" customHeight="1" x14ac:dyDescent="0.25">
      <c r="A261" s="34" t="s">
        <v>292</v>
      </c>
      <c r="B261" s="79" t="s">
        <v>612</v>
      </c>
      <c r="C261" s="79" t="s">
        <v>620</v>
      </c>
      <c r="D261" s="28">
        <v>52414</v>
      </c>
      <c r="E261" s="88" t="s">
        <v>628</v>
      </c>
      <c r="F261" s="30" t="s">
        <v>620</v>
      </c>
      <c r="K261" s="27" t="b">
        <f>REGISTRO!F266=Hoja1!F261</f>
        <v>1</v>
      </c>
      <c r="L261">
        <v>260</v>
      </c>
    </row>
    <row r="262" spans="1:12" ht="15.75" customHeight="1" x14ac:dyDescent="0.25">
      <c r="A262" s="34" t="s">
        <v>292</v>
      </c>
      <c r="B262" s="79" t="s">
        <v>613</v>
      </c>
      <c r="C262" s="79" t="s">
        <v>615</v>
      </c>
      <c r="D262" s="28" t="s">
        <v>616</v>
      </c>
      <c r="E262" s="88" t="s">
        <v>629</v>
      </c>
      <c r="F262" s="30" t="s">
        <v>615</v>
      </c>
      <c r="K262" s="27" t="b">
        <f>REGISTRO!F267=Hoja1!F262</f>
        <v>1</v>
      </c>
      <c r="L262">
        <v>261</v>
      </c>
    </row>
    <row r="263" spans="1:12" ht="15.75" customHeight="1" x14ac:dyDescent="0.25">
      <c r="A263" s="34" t="s">
        <v>292</v>
      </c>
      <c r="B263" s="79" t="s">
        <v>621</v>
      </c>
      <c r="C263" s="79" t="s">
        <v>615</v>
      </c>
      <c r="D263" s="28" t="s">
        <v>622</v>
      </c>
      <c r="E263" s="88" t="s">
        <v>630</v>
      </c>
      <c r="F263" s="30" t="s">
        <v>615</v>
      </c>
      <c r="K263" s="27" t="b">
        <f>REGISTRO!F268=Hoja1!F263</f>
        <v>1</v>
      </c>
      <c r="L263">
        <v>262</v>
      </c>
    </row>
    <row r="264" spans="1:12" s="45" customFormat="1" ht="15.75" customHeight="1" x14ac:dyDescent="0.25">
      <c r="A264" s="80" t="s">
        <v>292</v>
      </c>
      <c r="B264" s="79" t="s">
        <v>623</v>
      </c>
      <c r="C264" s="79" t="s">
        <v>596</v>
      </c>
      <c r="D264" s="79" t="s">
        <v>598</v>
      </c>
      <c r="E264" s="81" t="s">
        <v>603</v>
      </c>
      <c r="F264" s="37" t="s">
        <v>596</v>
      </c>
      <c r="K264" s="27" t="b">
        <f>REGISTRO!F269=Hoja1!F264</f>
        <v>1</v>
      </c>
      <c r="L264">
        <v>263</v>
      </c>
    </row>
    <row r="265" spans="1:12" ht="15.75" customHeight="1" x14ac:dyDescent="0.25">
      <c r="A265" s="34" t="s">
        <v>292</v>
      </c>
      <c r="B265" s="79" t="s">
        <v>614</v>
      </c>
      <c r="C265" s="79" t="s">
        <v>337</v>
      </c>
      <c r="D265" s="28" t="s">
        <v>597</v>
      </c>
      <c r="E265" s="81" t="s">
        <v>602</v>
      </c>
      <c r="F265" s="31" t="s">
        <v>337</v>
      </c>
      <c r="K265" s="27" t="b">
        <f>REGISTRO!F270=Hoja1!F265</f>
        <v>1</v>
      </c>
      <c r="L265">
        <v>264</v>
      </c>
    </row>
    <row r="266" spans="1:12" ht="15.75" customHeight="1" x14ac:dyDescent="0.25">
      <c r="A266" s="34" t="s">
        <v>292</v>
      </c>
      <c r="B266" s="79" t="s">
        <v>643</v>
      </c>
      <c r="C266" s="79" t="s">
        <v>639</v>
      </c>
      <c r="D266" s="28" t="s">
        <v>640</v>
      </c>
      <c r="E266" s="81" t="s">
        <v>644</v>
      </c>
      <c r="F266" s="31" t="s">
        <v>639</v>
      </c>
      <c r="K266" s="27" t="b">
        <f>REGISTRO!F271=Hoja1!F266</f>
        <v>1</v>
      </c>
      <c r="L266">
        <v>265</v>
      </c>
    </row>
    <row r="267" spans="1:12" ht="15.75" customHeight="1" x14ac:dyDescent="0.25">
      <c r="A267" s="34" t="s">
        <v>292</v>
      </c>
      <c r="B267" s="79" t="s">
        <v>646</v>
      </c>
      <c r="C267" s="79" t="s">
        <v>647</v>
      </c>
      <c r="D267" s="28">
        <v>472553</v>
      </c>
      <c r="E267" s="81" t="s">
        <v>650</v>
      </c>
      <c r="F267" s="31" t="s">
        <v>647</v>
      </c>
      <c r="K267" s="27" t="b">
        <f>REGISTRO!F272=Hoja1!F267</f>
        <v>1</v>
      </c>
      <c r="L267">
        <v>266</v>
      </c>
    </row>
    <row r="268" spans="1:12" ht="15.75" customHeight="1" x14ac:dyDescent="0.25">
      <c r="A268" s="34" t="s">
        <v>292</v>
      </c>
      <c r="B268" s="79" t="s">
        <v>726</v>
      </c>
      <c r="C268" s="79" t="s">
        <v>342</v>
      </c>
      <c r="D268" s="28">
        <v>142412</v>
      </c>
      <c r="E268" s="81" t="s">
        <v>741</v>
      </c>
      <c r="F268" s="37" t="s">
        <v>342</v>
      </c>
      <c r="K268" s="27" t="b">
        <f>REGISTRO!F273=Hoja1!F268</f>
        <v>1</v>
      </c>
      <c r="L268">
        <v>267</v>
      </c>
    </row>
    <row r="269" spans="1:12" ht="15.75" customHeight="1" x14ac:dyDescent="0.25">
      <c r="A269" s="34" t="s">
        <v>292</v>
      </c>
      <c r="B269" s="79" t="s">
        <v>727</v>
      </c>
      <c r="C269" s="79" t="s">
        <v>342</v>
      </c>
      <c r="D269" s="28">
        <v>142413</v>
      </c>
      <c r="E269" s="81" t="s">
        <v>742</v>
      </c>
      <c r="F269" s="37" t="s">
        <v>342</v>
      </c>
      <c r="K269" s="27" t="b">
        <f>REGISTRO!F274=Hoja1!F269</f>
        <v>1</v>
      </c>
      <c r="L269">
        <v>268</v>
      </c>
    </row>
    <row r="270" spans="1:12" ht="15.75" customHeight="1" x14ac:dyDescent="0.25">
      <c r="A270" s="34" t="s">
        <v>292</v>
      </c>
      <c r="B270" s="79" t="s">
        <v>770</v>
      </c>
      <c r="C270" s="79" t="s">
        <v>1079</v>
      </c>
      <c r="D270" s="28">
        <v>472532</v>
      </c>
      <c r="E270" s="81" t="s">
        <v>1081</v>
      </c>
      <c r="F270" s="37" t="s">
        <v>1079</v>
      </c>
      <c r="K270" s="27" t="b">
        <f>REGISTRO!F275=Hoja1!F270</f>
        <v>1</v>
      </c>
      <c r="L270">
        <v>269</v>
      </c>
    </row>
    <row r="271" spans="1:12" ht="15.75" customHeight="1" x14ac:dyDescent="0.25">
      <c r="A271" s="34" t="s">
        <v>292</v>
      </c>
      <c r="B271" s="79" t="s">
        <v>772</v>
      </c>
      <c r="C271" s="79" t="s">
        <v>1079</v>
      </c>
      <c r="D271" s="28">
        <v>472533</v>
      </c>
      <c r="E271" s="81" t="s">
        <v>1080</v>
      </c>
      <c r="F271" s="37" t="s">
        <v>1079</v>
      </c>
      <c r="K271" s="27" t="b">
        <f>REGISTRO!F276=Hoja1!F271</f>
        <v>1</v>
      </c>
      <c r="L271">
        <v>270</v>
      </c>
    </row>
    <row r="272" spans="1:12" ht="15.75" customHeight="1" x14ac:dyDescent="0.25">
      <c r="A272" s="34" t="s">
        <v>292</v>
      </c>
      <c r="B272" s="79" t="s">
        <v>1285</v>
      </c>
      <c r="C272" s="79" t="s">
        <v>1289</v>
      </c>
      <c r="D272" s="28">
        <v>482440</v>
      </c>
      <c r="E272" s="88" t="s">
        <v>1295</v>
      </c>
      <c r="F272" s="37" t="s">
        <v>1289</v>
      </c>
      <c r="K272" s="27" t="b">
        <f>REGISTRO!F277=Hoja1!F272</f>
        <v>1</v>
      </c>
      <c r="L272">
        <v>271</v>
      </c>
    </row>
    <row r="273" spans="1:12" ht="15.75" customHeight="1" x14ac:dyDescent="0.25">
      <c r="A273" s="34" t="s">
        <v>292</v>
      </c>
      <c r="B273" s="79" t="s">
        <v>1286</v>
      </c>
      <c r="C273" s="79" t="s">
        <v>1289</v>
      </c>
      <c r="D273" s="28">
        <v>482439</v>
      </c>
      <c r="E273" s="88" t="s">
        <v>1295</v>
      </c>
      <c r="F273" s="37" t="s">
        <v>1289</v>
      </c>
      <c r="K273" s="27" t="b">
        <f>REGISTRO!F278=Hoja1!F273</f>
        <v>1</v>
      </c>
      <c r="L273">
        <v>272</v>
      </c>
    </row>
    <row r="274" spans="1:12" ht="15.75" customHeight="1" x14ac:dyDescent="0.25">
      <c r="A274" s="34" t="s">
        <v>292</v>
      </c>
      <c r="B274" s="79" t="s">
        <v>1287</v>
      </c>
      <c r="C274" s="79" t="s">
        <v>1079</v>
      </c>
      <c r="D274" s="28" t="s">
        <v>1290</v>
      </c>
      <c r="E274" s="88" t="s">
        <v>1296</v>
      </c>
      <c r="F274" s="37" t="s">
        <v>1079</v>
      </c>
      <c r="K274" s="27" t="b">
        <f>REGISTRO!F279=Hoja1!F274</f>
        <v>1</v>
      </c>
      <c r="L274">
        <v>273</v>
      </c>
    </row>
    <row r="275" spans="1:12" ht="15.75" customHeight="1" x14ac:dyDescent="0.25">
      <c r="A275" s="34" t="s">
        <v>292</v>
      </c>
      <c r="B275" s="79" t="s">
        <v>1288</v>
      </c>
      <c r="C275" s="79" t="s">
        <v>1079</v>
      </c>
      <c r="D275" s="28">
        <v>472535</v>
      </c>
      <c r="E275" s="88" t="s">
        <v>1296</v>
      </c>
      <c r="F275" s="37" t="s">
        <v>1079</v>
      </c>
      <c r="K275" s="27" t="b">
        <f>REGISTRO!F280=Hoja1!F275</f>
        <v>1</v>
      </c>
      <c r="L275">
        <v>274</v>
      </c>
    </row>
    <row r="276" spans="1:12" ht="15.75" customHeight="1" x14ac:dyDescent="0.25">
      <c r="A276" s="34" t="s">
        <v>292</v>
      </c>
      <c r="B276" s="28" t="s">
        <v>365</v>
      </c>
      <c r="C276" s="80" t="s">
        <v>366</v>
      </c>
      <c r="D276" s="28">
        <v>25324</v>
      </c>
      <c r="E276" s="88" t="s">
        <v>1082</v>
      </c>
      <c r="F276" s="30" t="s">
        <v>366</v>
      </c>
      <c r="K276" s="27" t="b">
        <f>REGISTRO!F281=Hoja1!F276</f>
        <v>1</v>
      </c>
      <c r="L276">
        <v>275</v>
      </c>
    </row>
    <row r="277" spans="1:12" ht="15.75" customHeight="1" x14ac:dyDescent="0.25">
      <c r="A277" s="34" t="s">
        <v>292</v>
      </c>
      <c r="B277" s="28" t="s">
        <v>1070</v>
      </c>
      <c r="C277" s="79" t="s">
        <v>369</v>
      </c>
      <c r="D277" s="28">
        <v>25436</v>
      </c>
      <c r="E277" s="88" t="s">
        <v>1097</v>
      </c>
      <c r="F277" s="30" t="s">
        <v>369</v>
      </c>
      <c r="K277" s="27" t="b">
        <f>REGISTRO!F282=Hoja1!F277</f>
        <v>1</v>
      </c>
      <c r="L277">
        <v>276</v>
      </c>
    </row>
    <row r="278" spans="1:12" ht="15.75" customHeight="1" x14ac:dyDescent="0.25">
      <c r="A278" s="34" t="s">
        <v>292</v>
      </c>
      <c r="B278" s="28" t="s">
        <v>1071</v>
      </c>
      <c r="C278" s="79" t="s">
        <v>372</v>
      </c>
      <c r="D278" s="28">
        <v>25414</v>
      </c>
      <c r="E278" s="88" t="s">
        <v>1098</v>
      </c>
      <c r="F278" s="30" t="s">
        <v>372</v>
      </c>
      <c r="K278" s="27" t="b">
        <f>REGISTRO!F283=Hoja1!F278</f>
        <v>1</v>
      </c>
      <c r="L278">
        <v>277</v>
      </c>
    </row>
    <row r="279" spans="1:12" ht="15.75" customHeight="1" x14ac:dyDescent="0.25">
      <c r="A279" s="34" t="s">
        <v>292</v>
      </c>
      <c r="B279" s="28" t="s">
        <v>1069</v>
      </c>
      <c r="C279" s="79" t="s">
        <v>1072</v>
      </c>
      <c r="D279" s="28" t="s">
        <v>1073</v>
      </c>
      <c r="E279" s="88" t="s">
        <v>1099</v>
      </c>
      <c r="F279" s="30" t="s">
        <v>1072</v>
      </c>
      <c r="K279" s="27" t="b">
        <f>REGISTRO!F284=Hoja1!F279</f>
        <v>1</v>
      </c>
      <c r="L279">
        <v>278</v>
      </c>
    </row>
    <row r="280" spans="1:12" ht="15.75" customHeight="1" x14ac:dyDescent="0.25">
      <c r="A280" s="34" t="s">
        <v>292</v>
      </c>
      <c r="B280" s="28" t="s">
        <v>1281</v>
      </c>
      <c r="C280" s="79" t="s">
        <v>1283</v>
      </c>
      <c r="D280" s="28" t="s">
        <v>1282</v>
      </c>
      <c r="E280" s="88" t="s">
        <v>1299</v>
      </c>
      <c r="F280" s="30" t="s">
        <v>1283</v>
      </c>
      <c r="K280" s="27" t="b">
        <f>REGISTRO!F285=Hoja1!F280</f>
        <v>1</v>
      </c>
      <c r="L280">
        <v>279</v>
      </c>
    </row>
    <row r="281" spans="1:12" ht="15.75" customHeight="1" x14ac:dyDescent="0.25">
      <c r="A281" s="34" t="s">
        <v>292</v>
      </c>
      <c r="B281" s="28" t="s">
        <v>1313</v>
      </c>
      <c r="C281" s="79" t="s">
        <v>1314</v>
      </c>
      <c r="D281" s="28"/>
      <c r="E281" s="88" t="s">
        <v>1320</v>
      </c>
      <c r="F281" s="30" t="s">
        <v>1314</v>
      </c>
      <c r="K281" s="27" t="b">
        <f>REGISTRO!F286=Hoja1!F281</f>
        <v>1</v>
      </c>
      <c r="L281">
        <v>280</v>
      </c>
    </row>
    <row r="282" spans="1:12" ht="15.75" customHeight="1" x14ac:dyDescent="0.25">
      <c r="A282" s="34" t="s">
        <v>292</v>
      </c>
      <c r="B282" s="28"/>
      <c r="C282" s="79" t="s">
        <v>382</v>
      </c>
      <c r="D282" s="28" t="s">
        <v>1129</v>
      </c>
      <c r="E282" s="88" t="s">
        <v>1132</v>
      </c>
      <c r="F282" s="30" t="s">
        <v>382</v>
      </c>
      <c r="K282" s="27" t="b">
        <f>REGISTRO!F287=Hoja1!F282</f>
        <v>1</v>
      </c>
      <c r="L282">
        <v>281</v>
      </c>
    </row>
    <row r="283" spans="1:12" ht="15.75" customHeight="1" x14ac:dyDescent="0.25">
      <c r="A283" s="27" t="s">
        <v>292</v>
      </c>
      <c r="B283" s="28"/>
      <c r="C283" s="79" t="s">
        <v>382</v>
      </c>
      <c r="D283" s="28" t="s">
        <v>1127</v>
      </c>
      <c r="E283" s="80" t="s">
        <v>1128</v>
      </c>
      <c r="F283" s="30" t="s">
        <v>382</v>
      </c>
      <c r="K283" s="27" t="b">
        <f>REGISTRO!F288=Hoja1!F283</f>
        <v>1</v>
      </c>
      <c r="L283">
        <v>282</v>
      </c>
    </row>
    <row r="284" spans="1:12" ht="15.75" customHeight="1" x14ac:dyDescent="0.25">
      <c r="A284" s="27" t="s">
        <v>292</v>
      </c>
      <c r="B284" s="28"/>
      <c r="C284" s="79" t="s">
        <v>382</v>
      </c>
      <c r="D284" s="28" t="s">
        <v>386</v>
      </c>
      <c r="E284" s="81" t="s">
        <v>572</v>
      </c>
      <c r="F284" s="30" t="s">
        <v>382</v>
      </c>
      <c r="K284" s="27" t="b">
        <f>REGISTRO!F289=Hoja1!F284</f>
        <v>1</v>
      </c>
      <c r="L284">
        <v>283</v>
      </c>
    </row>
    <row r="285" spans="1:12" ht="15.75" customHeight="1" x14ac:dyDescent="0.25">
      <c r="A285" s="27" t="s">
        <v>292</v>
      </c>
      <c r="B285" s="28"/>
      <c r="C285" s="79" t="s">
        <v>382</v>
      </c>
      <c r="D285" s="28" t="s">
        <v>1119</v>
      </c>
      <c r="E285" s="88" t="s">
        <v>1123</v>
      </c>
      <c r="F285" s="30" t="s">
        <v>382</v>
      </c>
      <c r="K285" s="27" t="b">
        <f>REGISTRO!F290=Hoja1!F285</f>
        <v>1</v>
      </c>
      <c r="L285">
        <v>284</v>
      </c>
    </row>
    <row r="286" spans="1:12" ht="15.75" customHeight="1" x14ac:dyDescent="0.25">
      <c r="A286" s="34" t="s">
        <v>292</v>
      </c>
      <c r="C286" s="79" t="s">
        <v>382</v>
      </c>
      <c r="D286" s="28" t="s">
        <v>383</v>
      </c>
      <c r="E286" s="81" t="s">
        <v>571</v>
      </c>
      <c r="F286" s="30" t="s">
        <v>382</v>
      </c>
      <c r="K286" s="27" t="b">
        <f>REGISTRO!F291=Hoja1!F286</f>
        <v>1</v>
      </c>
      <c r="L286">
        <v>285</v>
      </c>
    </row>
    <row r="287" spans="1:12" ht="15" customHeight="1" x14ac:dyDescent="0.25">
      <c r="A287" s="34" t="s">
        <v>292</v>
      </c>
      <c r="C287" s="79" t="s">
        <v>382</v>
      </c>
      <c r="D287" s="87" t="s">
        <v>1121</v>
      </c>
      <c r="E287" s="45" t="s">
        <v>1124</v>
      </c>
      <c r="F287" s="30" t="s">
        <v>382</v>
      </c>
      <c r="K287" s="27" t="b">
        <f>REGISTRO!F292=Hoja1!F287</f>
        <v>1</v>
      </c>
      <c r="L287">
        <v>286</v>
      </c>
    </row>
    <row r="288" spans="1:12" ht="15.75" customHeight="1" x14ac:dyDescent="0.25">
      <c r="A288" s="27" t="s">
        <v>292</v>
      </c>
      <c r="B288" s="28"/>
      <c r="C288" s="79" t="s">
        <v>382</v>
      </c>
      <c r="D288" s="28" t="s">
        <v>388</v>
      </c>
      <c r="E288" s="81" t="s">
        <v>573</v>
      </c>
      <c r="F288" s="30" t="s">
        <v>382</v>
      </c>
      <c r="K288" s="27" t="b">
        <f>REGISTRO!F293=Hoja1!F288</f>
        <v>1</v>
      </c>
      <c r="L288">
        <v>287</v>
      </c>
    </row>
    <row r="289" spans="1:12" ht="15.75" customHeight="1" x14ac:dyDescent="0.25">
      <c r="A289" s="34" t="s">
        <v>292</v>
      </c>
      <c r="B289" s="28"/>
      <c r="C289" s="79" t="s">
        <v>382</v>
      </c>
      <c r="D289" s="28" t="s">
        <v>391</v>
      </c>
      <c r="E289" s="80" t="s">
        <v>1122</v>
      </c>
      <c r="F289" s="30" t="s">
        <v>382</v>
      </c>
      <c r="K289" s="27" t="b">
        <f>REGISTRO!F294=Hoja1!F289</f>
        <v>1</v>
      </c>
      <c r="L289">
        <v>288</v>
      </c>
    </row>
    <row r="290" spans="1:12" ht="15.75" customHeight="1" x14ac:dyDescent="0.25">
      <c r="A290" s="34" t="s">
        <v>292</v>
      </c>
      <c r="B290" s="28"/>
      <c r="C290" s="79" t="s">
        <v>382</v>
      </c>
      <c r="D290" s="28" t="s">
        <v>391</v>
      </c>
      <c r="E290" s="80" t="s">
        <v>1118</v>
      </c>
      <c r="F290" s="30" t="s">
        <v>382</v>
      </c>
      <c r="K290" s="27" t="b">
        <f>REGISTRO!F295=Hoja1!F290</f>
        <v>1</v>
      </c>
      <c r="L290">
        <v>289</v>
      </c>
    </row>
    <row r="291" spans="1:12" ht="15.75" customHeight="1" x14ac:dyDescent="0.25">
      <c r="A291" s="27" t="s">
        <v>292</v>
      </c>
      <c r="B291" s="28"/>
      <c r="C291" s="79" t="s">
        <v>1116</v>
      </c>
      <c r="D291" s="28" t="s">
        <v>391</v>
      </c>
      <c r="E291" s="80" t="s">
        <v>1117</v>
      </c>
      <c r="F291" s="30" t="s">
        <v>1116</v>
      </c>
      <c r="K291" s="27" t="b">
        <f>REGISTRO!F296=Hoja1!F291</f>
        <v>1</v>
      </c>
      <c r="L291">
        <v>290</v>
      </c>
    </row>
    <row r="292" spans="1:12" ht="15.75" customHeight="1" x14ac:dyDescent="0.25">
      <c r="A292" s="34" t="s">
        <v>292</v>
      </c>
      <c r="B292" s="28"/>
      <c r="C292" s="79" t="s">
        <v>1274</v>
      </c>
      <c r="D292" s="28" t="s">
        <v>1275</v>
      </c>
      <c r="E292" s="80" t="s">
        <v>1300</v>
      </c>
      <c r="F292" s="30" t="s">
        <v>1274</v>
      </c>
      <c r="K292" s="27" t="b">
        <f>REGISTRO!F297=Hoja1!F292</f>
        <v>1</v>
      </c>
      <c r="L292">
        <v>291</v>
      </c>
    </row>
    <row r="293" spans="1:12" ht="15.75" customHeight="1" x14ac:dyDescent="0.25">
      <c r="A293" s="34" t="s">
        <v>292</v>
      </c>
      <c r="B293" s="28"/>
      <c r="C293" s="79" t="s">
        <v>1274</v>
      </c>
      <c r="D293" s="28" t="s">
        <v>1277</v>
      </c>
      <c r="E293" s="80" t="s">
        <v>1301</v>
      </c>
      <c r="F293" s="30" t="s">
        <v>1274</v>
      </c>
      <c r="K293" s="27" t="b">
        <f>REGISTRO!F298=Hoja1!F293</f>
        <v>1</v>
      </c>
      <c r="L293">
        <v>292</v>
      </c>
    </row>
    <row r="294" spans="1:12" ht="15.75" customHeight="1" x14ac:dyDescent="0.25">
      <c r="A294" s="34" t="s">
        <v>292</v>
      </c>
      <c r="B294" s="28"/>
      <c r="C294" s="79" t="s">
        <v>382</v>
      </c>
      <c r="D294" s="79" t="s">
        <v>1310</v>
      </c>
      <c r="E294" s="80" t="s">
        <v>1321</v>
      </c>
      <c r="F294" s="30" t="s">
        <v>382</v>
      </c>
      <c r="K294" s="27" t="b">
        <f>REGISTRO!F299=Hoja1!F294</f>
        <v>1</v>
      </c>
      <c r="L294">
        <v>293</v>
      </c>
    </row>
    <row r="295" spans="1:12" ht="15.75" customHeight="1" x14ac:dyDescent="0.25">
      <c r="A295" s="34" t="s">
        <v>292</v>
      </c>
      <c r="B295" s="28"/>
      <c r="C295" s="79" t="s">
        <v>382</v>
      </c>
      <c r="D295" s="79" t="s">
        <v>1311</v>
      </c>
      <c r="E295" s="80" t="s">
        <v>1322</v>
      </c>
      <c r="F295" s="30" t="s">
        <v>382</v>
      </c>
      <c r="K295" s="27" t="b">
        <f>REGISTRO!F300=Hoja1!F295</f>
        <v>1</v>
      </c>
      <c r="L295">
        <v>294</v>
      </c>
    </row>
    <row r="296" spans="1:12" ht="15.75" customHeight="1" x14ac:dyDescent="0.25">
      <c r="A296" s="34" t="s">
        <v>292</v>
      </c>
      <c r="B296" s="28"/>
      <c r="C296" s="79" t="s">
        <v>382</v>
      </c>
      <c r="D296" s="79" t="s">
        <v>1363</v>
      </c>
      <c r="E296" s="80" t="s">
        <v>1367</v>
      </c>
      <c r="F296" s="30" t="s">
        <v>382</v>
      </c>
      <c r="K296" s="27" t="b">
        <f>REGISTRO!F301=Hoja1!F296</f>
        <v>1</v>
      </c>
      <c r="L296">
        <v>295</v>
      </c>
    </row>
    <row r="297" spans="1:12" ht="15.75" customHeight="1" x14ac:dyDescent="0.25">
      <c r="A297" s="34" t="s">
        <v>292</v>
      </c>
      <c r="B297" s="28"/>
      <c r="C297" s="79" t="s">
        <v>394</v>
      </c>
      <c r="D297" s="28" t="s">
        <v>88</v>
      </c>
      <c r="E297" s="80" t="s">
        <v>574</v>
      </c>
      <c r="F297" s="30" t="s">
        <v>394</v>
      </c>
      <c r="K297" s="27" t="b">
        <f>REGISTRO!F302=Hoja1!F297</f>
        <v>1</v>
      </c>
      <c r="L297">
        <v>296</v>
      </c>
    </row>
    <row r="298" spans="1:12" ht="15.75" customHeight="1" x14ac:dyDescent="0.25">
      <c r="A298" s="27" t="s">
        <v>292</v>
      </c>
      <c r="B298" s="28"/>
      <c r="C298" s="79" t="s">
        <v>396</v>
      </c>
      <c r="D298" s="28" t="s">
        <v>88</v>
      </c>
      <c r="E298" s="80" t="s">
        <v>574</v>
      </c>
      <c r="F298" s="30" t="s">
        <v>396</v>
      </c>
      <c r="K298" s="27" t="b">
        <f>REGISTRO!F303=Hoja1!F298</f>
        <v>1</v>
      </c>
      <c r="L298">
        <v>297</v>
      </c>
    </row>
    <row r="299" spans="1:12" ht="15.75" customHeight="1" x14ac:dyDescent="0.25">
      <c r="A299" s="27" t="s">
        <v>292</v>
      </c>
      <c r="B299" s="28" t="s">
        <v>419</v>
      </c>
      <c r="C299" s="79" t="s">
        <v>420</v>
      </c>
      <c r="D299" s="28" t="s">
        <v>421</v>
      </c>
      <c r="E299" s="80" t="s">
        <v>575</v>
      </c>
      <c r="F299" s="30" t="s">
        <v>420</v>
      </c>
      <c r="K299" s="27" t="b">
        <f>REGISTRO!F304=Hoja1!F299</f>
        <v>1</v>
      </c>
      <c r="L299">
        <v>298</v>
      </c>
    </row>
    <row r="300" spans="1:12" ht="15.75" customHeight="1" x14ac:dyDescent="0.25">
      <c r="A300" s="27" t="s">
        <v>292</v>
      </c>
      <c r="B300" s="28" t="s">
        <v>425</v>
      </c>
      <c r="C300" s="79" t="s">
        <v>420</v>
      </c>
      <c r="D300" s="28" t="s">
        <v>426</v>
      </c>
      <c r="E300" s="47" t="s">
        <v>576</v>
      </c>
      <c r="F300" s="30" t="s">
        <v>420</v>
      </c>
      <c r="K300" s="27" t="b">
        <f>REGISTRO!F305=Hoja1!F300</f>
        <v>1</v>
      </c>
      <c r="L300">
        <v>299</v>
      </c>
    </row>
    <row r="301" spans="1:12" ht="15.75" customHeight="1" x14ac:dyDescent="0.25">
      <c r="A301" s="27" t="s">
        <v>292</v>
      </c>
      <c r="B301" s="28" t="s">
        <v>427</v>
      </c>
      <c r="C301" s="79" t="s">
        <v>420</v>
      </c>
      <c r="D301" s="28" t="s">
        <v>428</v>
      </c>
      <c r="E301" s="47" t="s">
        <v>577</v>
      </c>
      <c r="F301" s="30" t="s">
        <v>420</v>
      </c>
      <c r="K301" s="27" t="b">
        <f>REGISTRO!F306=Hoja1!F301</f>
        <v>1</v>
      </c>
      <c r="L301">
        <v>300</v>
      </c>
    </row>
    <row r="302" spans="1:12" ht="15.75" customHeight="1" x14ac:dyDescent="0.25">
      <c r="A302" s="27" t="s">
        <v>292</v>
      </c>
      <c r="B302" s="28" t="s">
        <v>429</v>
      </c>
      <c r="C302" s="79" t="s">
        <v>420</v>
      </c>
      <c r="D302" s="28" t="s">
        <v>430</v>
      </c>
      <c r="E302" s="47" t="s">
        <v>578</v>
      </c>
      <c r="F302" s="30" t="s">
        <v>420</v>
      </c>
      <c r="K302" s="27" t="b">
        <f>REGISTRO!F307=Hoja1!F302</f>
        <v>1</v>
      </c>
      <c r="L302">
        <v>301</v>
      </c>
    </row>
    <row r="303" spans="1:12" ht="15.75" customHeight="1" x14ac:dyDescent="0.25">
      <c r="A303" s="27" t="s">
        <v>292</v>
      </c>
      <c r="B303" s="28" t="s">
        <v>432</v>
      </c>
      <c r="C303" s="79" t="s">
        <v>420</v>
      </c>
      <c r="D303" s="28" t="s">
        <v>433</v>
      </c>
      <c r="E303" s="47" t="s">
        <v>1134</v>
      </c>
      <c r="F303" s="30" t="s">
        <v>420</v>
      </c>
      <c r="K303" s="27" t="b">
        <f>REGISTRO!F308=Hoja1!F303</f>
        <v>1</v>
      </c>
      <c r="L303">
        <v>302</v>
      </c>
    </row>
    <row r="304" spans="1:12" ht="15.75" customHeight="1" x14ac:dyDescent="0.25">
      <c r="A304" s="27" t="s">
        <v>292</v>
      </c>
      <c r="B304" s="28" t="s">
        <v>398</v>
      </c>
      <c r="C304" s="79" t="s">
        <v>399</v>
      </c>
      <c r="D304" s="28" t="s">
        <v>378</v>
      </c>
      <c r="E304" s="47" t="s">
        <v>1135</v>
      </c>
      <c r="F304" s="30" t="s">
        <v>399</v>
      </c>
      <c r="K304" s="27" t="b">
        <f>REGISTRO!F309=Hoja1!F304</f>
        <v>1</v>
      </c>
      <c r="L304">
        <v>303</v>
      </c>
    </row>
    <row r="305" spans="1:12" ht="15.75" customHeight="1" x14ac:dyDescent="0.25">
      <c r="A305" s="27" t="s">
        <v>292</v>
      </c>
      <c r="B305" s="28" t="s">
        <v>403</v>
      </c>
      <c r="C305" s="79" t="s">
        <v>404</v>
      </c>
      <c r="D305" s="28" t="s">
        <v>378</v>
      </c>
      <c r="E305" s="47" t="s">
        <v>1136</v>
      </c>
      <c r="F305" s="30" t="s">
        <v>404</v>
      </c>
      <c r="K305" s="27" t="b">
        <f>REGISTRO!F310=Hoja1!F305</f>
        <v>1</v>
      </c>
      <c r="L305">
        <v>304</v>
      </c>
    </row>
    <row r="306" spans="1:12" ht="15.75" customHeight="1" x14ac:dyDescent="0.25">
      <c r="A306" s="27" t="s">
        <v>292</v>
      </c>
      <c r="B306" s="28" t="s">
        <v>405</v>
      </c>
      <c r="C306" s="79" t="s">
        <v>406</v>
      </c>
      <c r="D306" s="28" t="s">
        <v>378</v>
      </c>
      <c r="E306" s="47" t="s">
        <v>1137</v>
      </c>
      <c r="F306" s="30" t="s">
        <v>406</v>
      </c>
      <c r="K306" s="27" t="b">
        <f>REGISTRO!F311=Hoja1!F306</f>
        <v>1</v>
      </c>
      <c r="L306">
        <v>305</v>
      </c>
    </row>
    <row r="307" spans="1:12" ht="15.75" customHeight="1" x14ac:dyDescent="0.25">
      <c r="A307" s="27" t="s">
        <v>292</v>
      </c>
      <c r="B307" s="28" t="s">
        <v>409</v>
      </c>
      <c r="C307" s="79" t="s">
        <v>406</v>
      </c>
      <c r="D307" s="28" t="s">
        <v>378</v>
      </c>
      <c r="E307" s="47" t="s">
        <v>1138</v>
      </c>
      <c r="F307" s="30" t="s">
        <v>406</v>
      </c>
      <c r="K307" s="27" t="b">
        <f>REGISTRO!F312=Hoja1!F307</f>
        <v>1</v>
      </c>
      <c r="L307">
        <v>306</v>
      </c>
    </row>
    <row r="308" spans="1:12" ht="15.75" customHeight="1" x14ac:dyDescent="0.25">
      <c r="A308" s="27" t="s">
        <v>292</v>
      </c>
      <c r="B308" s="28" t="s">
        <v>411</v>
      </c>
      <c r="C308" s="79" t="s">
        <v>406</v>
      </c>
      <c r="D308" s="28" t="s">
        <v>412</v>
      </c>
      <c r="E308" s="47" t="s">
        <v>1139</v>
      </c>
      <c r="F308" s="30" t="s">
        <v>406</v>
      </c>
      <c r="K308" s="27" t="b">
        <f>REGISTRO!F313=Hoja1!F308</f>
        <v>1</v>
      </c>
      <c r="L308">
        <v>307</v>
      </c>
    </row>
    <row r="309" spans="1:12" ht="15.75" customHeight="1" x14ac:dyDescent="0.25">
      <c r="A309" s="27" t="s">
        <v>292</v>
      </c>
      <c r="B309" s="28" t="s">
        <v>414</v>
      </c>
      <c r="C309" s="79" t="s">
        <v>415</v>
      </c>
      <c r="D309" s="28" t="s">
        <v>416</v>
      </c>
      <c r="E309" s="47" t="s">
        <v>1140</v>
      </c>
      <c r="F309" s="30" t="s">
        <v>415</v>
      </c>
      <c r="K309" s="27" t="b">
        <f>REGISTRO!F314=Hoja1!F309</f>
        <v>1</v>
      </c>
      <c r="L309">
        <v>308</v>
      </c>
    </row>
    <row r="310" spans="1:12" ht="15.75" customHeight="1" x14ac:dyDescent="0.25">
      <c r="A310" s="40" t="s">
        <v>292</v>
      </c>
      <c r="B310" s="28" t="s">
        <v>605</v>
      </c>
      <c r="C310" s="79" t="s">
        <v>420</v>
      </c>
      <c r="D310" s="28" t="s">
        <v>607</v>
      </c>
      <c r="E310" s="47" t="s">
        <v>1141</v>
      </c>
      <c r="F310" s="30" t="s">
        <v>420</v>
      </c>
      <c r="K310" s="27" t="b">
        <f>REGISTRO!F315=Hoja1!F310</f>
        <v>1</v>
      </c>
      <c r="L310">
        <v>309</v>
      </c>
    </row>
    <row r="311" spans="1:12" ht="15.75" customHeight="1" x14ac:dyDescent="0.25">
      <c r="A311" s="40" t="s">
        <v>292</v>
      </c>
      <c r="B311" s="28" t="s">
        <v>604</v>
      </c>
      <c r="C311" s="79" t="s">
        <v>420</v>
      </c>
      <c r="D311" s="28" t="s">
        <v>606</v>
      </c>
      <c r="E311" s="47" t="s">
        <v>1142</v>
      </c>
      <c r="F311" s="30" t="s">
        <v>420</v>
      </c>
      <c r="K311" s="27" t="b">
        <f>REGISTRO!F316=Hoja1!F311</f>
        <v>1</v>
      </c>
      <c r="L311">
        <v>310</v>
      </c>
    </row>
    <row r="312" spans="1:12" ht="15.75" customHeight="1" x14ac:dyDescent="0.25">
      <c r="A312" s="34" t="s">
        <v>436</v>
      </c>
      <c r="B312" s="28"/>
      <c r="C312" s="79" t="s">
        <v>442</v>
      </c>
      <c r="D312" s="28" t="s">
        <v>378</v>
      </c>
      <c r="E312" s="47" t="s">
        <v>579</v>
      </c>
      <c r="F312" s="30" t="s">
        <v>442</v>
      </c>
      <c r="K312" s="27" t="b">
        <f>REGISTRO!F317=Hoja1!F312</f>
        <v>1</v>
      </c>
      <c r="L312">
        <v>311</v>
      </c>
    </row>
    <row r="313" spans="1:12" ht="15.75" customHeight="1" x14ac:dyDescent="0.25">
      <c r="A313" s="27" t="s">
        <v>436</v>
      </c>
      <c r="B313" s="28"/>
      <c r="C313" s="79" t="s">
        <v>445</v>
      </c>
      <c r="D313" s="28">
        <v>10081431</v>
      </c>
      <c r="E313" s="47" t="s">
        <v>580</v>
      </c>
      <c r="F313" s="30" t="s">
        <v>445</v>
      </c>
      <c r="K313" s="27" t="b">
        <f>REGISTRO!F318=Hoja1!F313</f>
        <v>1</v>
      </c>
      <c r="L313">
        <v>312</v>
      </c>
    </row>
    <row r="314" spans="1:12" ht="15.75" customHeight="1" x14ac:dyDescent="0.25">
      <c r="A314" s="27" t="s">
        <v>436</v>
      </c>
      <c r="B314" s="28" t="s">
        <v>449</v>
      </c>
      <c r="C314" s="79" t="s">
        <v>450</v>
      </c>
      <c r="D314" s="28" t="s">
        <v>451</v>
      </c>
      <c r="E314" s="47" t="s">
        <v>1089</v>
      </c>
      <c r="F314" s="30" t="s">
        <v>450</v>
      </c>
      <c r="K314" s="27" t="b">
        <f>REGISTRO!F319=Hoja1!F314</f>
        <v>1</v>
      </c>
      <c r="L314">
        <v>313</v>
      </c>
    </row>
    <row r="315" spans="1:12" ht="15.75" customHeight="1" x14ac:dyDescent="0.25">
      <c r="A315" s="27" t="s">
        <v>76</v>
      </c>
      <c r="B315" s="28" t="s">
        <v>1101</v>
      </c>
      <c r="C315" s="79" t="s">
        <v>1102</v>
      </c>
      <c r="D315" s="28" t="s">
        <v>1105</v>
      </c>
      <c r="E315" s="47" t="s">
        <v>1106</v>
      </c>
      <c r="F315" s="30" t="s">
        <v>1102</v>
      </c>
      <c r="K315" s="27" t="b">
        <f>REGISTRO!F320=Hoja1!F315</f>
        <v>1</v>
      </c>
      <c r="L315">
        <v>314</v>
      </c>
    </row>
    <row r="316" spans="1:12" ht="15.75" customHeight="1" x14ac:dyDescent="0.25">
      <c r="A316" s="27" t="s">
        <v>436</v>
      </c>
      <c r="B316" s="28" t="s">
        <v>1094</v>
      </c>
      <c r="C316" s="79" t="s">
        <v>1095</v>
      </c>
      <c r="D316" s="28" t="s">
        <v>463</v>
      </c>
      <c r="E316" s="47" t="s">
        <v>1096</v>
      </c>
      <c r="F316" s="30" t="s">
        <v>1095</v>
      </c>
      <c r="K316" s="27" t="b">
        <f>REGISTRO!F321=Hoja1!F316</f>
        <v>1</v>
      </c>
      <c r="L316">
        <v>315</v>
      </c>
    </row>
    <row r="317" spans="1:12" ht="15.75" customHeight="1" x14ac:dyDescent="0.25">
      <c r="A317" s="27" t="s">
        <v>436</v>
      </c>
      <c r="B317" s="28"/>
      <c r="C317" s="79" t="s">
        <v>454</v>
      </c>
      <c r="D317" s="28" t="s">
        <v>455</v>
      </c>
      <c r="E317" s="96" t="s">
        <v>785</v>
      </c>
      <c r="F317" s="30" t="s">
        <v>454</v>
      </c>
      <c r="K317" s="27" t="b">
        <f>REGISTRO!F322=Hoja1!F317</f>
        <v>1</v>
      </c>
      <c r="L317">
        <v>316</v>
      </c>
    </row>
    <row r="318" spans="1:12" ht="15.75" customHeight="1" x14ac:dyDescent="0.25">
      <c r="A318" s="27" t="s">
        <v>436</v>
      </c>
      <c r="B318" s="28"/>
      <c r="C318" s="79" t="s">
        <v>454</v>
      </c>
      <c r="D318" s="28" t="s">
        <v>458</v>
      </c>
      <c r="E318" s="96" t="s">
        <v>1192</v>
      </c>
      <c r="F318" s="36" t="s">
        <v>454</v>
      </c>
      <c r="K318" s="27" t="b">
        <f>REGISTRO!F323=Hoja1!F318</f>
        <v>1</v>
      </c>
      <c r="L318">
        <v>317</v>
      </c>
    </row>
    <row r="319" spans="1:12" ht="15.75" customHeight="1" x14ac:dyDescent="0.25">
      <c r="A319" s="27" t="s">
        <v>436</v>
      </c>
      <c r="B319" s="28" t="s">
        <v>779</v>
      </c>
      <c r="C319" s="79" t="s">
        <v>454</v>
      </c>
      <c r="D319" s="28">
        <v>10010267</v>
      </c>
      <c r="E319" s="96" t="s">
        <v>784</v>
      </c>
      <c r="F319" s="30" t="s">
        <v>454</v>
      </c>
      <c r="K319" s="27" t="b">
        <f>REGISTRO!F324=Hoja1!F319</f>
        <v>1</v>
      </c>
      <c r="L319">
        <v>318</v>
      </c>
    </row>
    <row r="320" spans="1:12" ht="15.75" customHeight="1" x14ac:dyDescent="0.25">
      <c r="A320" s="27" t="s">
        <v>436</v>
      </c>
      <c r="B320" s="28" t="s">
        <v>781</v>
      </c>
      <c r="C320" s="79" t="s">
        <v>454</v>
      </c>
      <c r="D320" s="28">
        <v>10010267</v>
      </c>
      <c r="E320" s="47" t="s">
        <v>581</v>
      </c>
      <c r="F320" s="30" t="s">
        <v>454</v>
      </c>
      <c r="K320" s="27" t="b">
        <f>REGISTRO!F325=Hoja1!F320</f>
        <v>1</v>
      </c>
      <c r="L320">
        <v>319</v>
      </c>
    </row>
    <row r="321" spans="1:12" ht="15.75" customHeight="1" x14ac:dyDescent="0.25">
      <c r="A321" s="27" t="s">
        <v>436</v>
      </c>
      <c r="B321" s="28" t="s">
        <v>782</v>
      </c>
      <c r="C321" s="79" t="s">
        <v>454</v>
      </c>
      <c r="D321" s="28">
        <v>10010267</v>
      </c>
      <c r="E321" s="47" t="s">
        <v>582</v>
      </c>
      <c r="F321" s="30" t="s">
        <v>454</v>
      </c>
      <c r="K321" s="27" t="b">
        <f>REGISTRO!F326=Hoja1!F321</f>
        <v>1</v>
      </c>
      <c r="L321">
        <v>320</v>
      </c>
    </row>
    <row r="322" spans="1:12" ht="15.75" customHeight="1" x14ac:dyDescent="0.25">
      <c r="A322" s="27" t="s">
        <v>436</v>
      </c>
      <c r="B322" s="28"/>
      <c r="C322" s="79" t="s">
        <v>462</v>
      </c>
      <c r="D322" s="28" t="s">
        <v>465</v>
      </c>
      <c r="E322" s="47" t="s">
        <v>583</v>
      </c>
      <c r="F322" s="30" t="s">
        <v>462</v>
      </c>
      <c r="K322" s="27" t="b">
        <f>REGISTRO!F327=Hoja1!F322</f>
        <v>1</v>
      </c>
      <c r="L322">
        <v>321</v>
      </c>
    </row>
    <row r="323" spans="1:12" ht="15.75" customHeight="1" x14ac:dyDescent="0.25">
      <c r="A323" s="27" t="s">
        <v>436</v>
      </c>
      <c r="B323" s="28"/>
      <c r="C323" s="79" t="s">
        <v>462</v>
      </c>
      <c r="D323" s="28" t="s">
        <v>468</v>
      </c>
      <c r="E323" s="47" t="s">
        <v>584</v>
      </c>
      <c r="F323" s="30" t="s">
        <v>462</v>
      </c>
      <c r="K323" s="27" t="b">
        <f>REGISTRO!F328=Hoja1!F323</f>
        <v>1</v>
      </c>
      <c r="L323">
        <v>322</v>
      </c>
    </row>
    <row r="324" spans="1:12" ht="15.75" customHeight="1" x14ac:dyDescent="0.25">
      <c r="A324" s="27" t="s">
        <v>436</v>
      </c>
      <c r="B324" s="28" t="s">
        <v>472</v>
      </c>
      <c r="C324" s="79" t="s">
        <v>473</v>
      </c>
      <c r="D324" s="28">
        <v>2664</v>
      </c>
      <c r="E324" s="47" t="s">
        <v>587</v>
      </c>
      <c r="F324" s="30" t="s">
        <v>473</v>
      </c>
      <c r="K324" s="27" t="b">
        <f>REGISTRO!F329=Hoja1!F324</f>
        <v>1</v>
      </c>
      <c r="L324">
        <v>323</v>
      </c>
    </row>
    <row r="325" spans="1:12" ht="15.75" customHeight="1" x14ac:dyDescent="0.25">
      <c r="A325" s="27" t="s">
        <v>436</v>
      </c>
      <c r="B325" s="28" t="s">
        <v>811</v>
      </c>
      <c r="C325" s="79" t="s">
        <v>473</v>
      </c>
      <c r="D325" s="28">
        <v>4085135</v>
      </c>
      <c r="E325" s="47" t="s">
        <v>928</v>
      </c>
      <c r="F325" s="30" t="s">
        <v>473</v>
      </c>
      <c r="K325" s="27" t="b">
        <f>REGISTRO!F330=Hoja1!F325</f>
        <v>1</v>
      </c>
      <c r="L325">
        <v>324</v>
      </c>
    </row>
    <row r="326" spans="1:12" ht="15.75" customHeight="1" x14ac:dyDescent="0.25">
      <c r="A326" s="27" t="s">
        <v>436</v>
      </c>
      <c r="B326" s="28"/>
      <c r="C326" s="79" t="s">
        <v>473</v>
      </c>
      <c r="D326" s="28">
        <v>81742</v>
      </c>
      <c r="E326" s="47" t="s">
        <v>1334</v>
      </c>
      <c r="F326" s="30" t="s">
        <v>473</v>
      </c>
      <c r="K326" s="27" t="b">
        <f>REGISTRO!F331=Hoja1!F326</f>
        <v>1</v>
      </c>
      <c r="L326">
        <v>325</v>
      </c>
    </row>
    <row r="327" spans="1:12" ht="15.75" customHeight="1" x14ac:dyDescent="0.25">
      <c r="A327" s="27" t="s">
        <v>436</v>
      </c>
      <c r="B327" s="52" t="s">
        <v>969</v>
      </c>
      <c r="C327" s="79" t="s">
        <v>473</v>
      </c>
      <c r="D327" s="28">
        <v>3641</v>
      </c>
      <c r="E327" s="47" t="s">
        <v>1143</v>
      </c>
      <c r="F327" s="30" t="s">
        <v>473</v>
      </c>
      <c r="K327" s="27" t="b">
        <f>REGISTRO!F332=Hoja1!F327</f>
        <v>1</v>
      </c>
      <c r="L327">
        <v>326</v>
      </c>
    </row>
    <row r="328" spans="1:12" ht="15.75" customHeight="1" x14ac:dyDescent="0.25">
      <c r="A328" s="27" t="s">
        <v>436</v>
      </c>
      <c r="B328" s="28" t="s">
        <v>476</v>
      </c>
      <c r="C328" s="79" t="s">
        <v>477</v>
      </c>
      <c r="D328" s="28" t="s">
        <v>478</v>
      </c>
      <c r="E328" s="47" t="s">
        <v>1088</v>
      </c>
      <c r="F328" s="30" t="s">
        <v>477</v>
      </c>
      <c r="K328" s="27" t="b">
        <f>REGISTRO!F333=Hoja1!F328</f>
        <v>1</v>
      </c>
      <c r="L328">
        <v>327</v>
      </c>
    </row>
    <row r="329" spans="1:12" ht="15.75" customHeight="1" x14ac:dyDescent="0.25">
      <c r="A329" s="27" t="s">
        <v>436</v>
      </c>
      <c r="B329" s="28" t="s">
        <v>1271</v>
      </c>
      <c r="C329" s="79" t="s">
        <v>477</v>
      </c>
      <c r="D329" s="28" t="s">
        <v>1273</v>
      </c>
      <c r="E329" s="47" t="s">
        <v>1297</v>
      </c>
      <c r="F329" s="30" t="s">
        <v>477</v>
      </c>
      <c r="K329" s="27" t="b">
        <f>REGISTRO!F334=Hoja1!F329</f>
        <v>1</v>
      </c>
      <c r="L329">
        <v>328</v>
      </c>
    </row>
    <row r="330" spans="1:12" ht="15.75" customHeight="1" x14ac:dyDescent="0.25">
      <c r="A330" s="27" t="s">
        <v>436</v>
      </c>
      <c r="B330" s="28" t="s">
        <v>480</v>
      </c>
      <c r="C330" s="79" t="s">
        <v>481</v>
      </c>
      <c r="D330" s="28" t="s">
        <v>482</v>
      </c>
      <c r="E330" s="47" t="s">
        <v>585</v>
      </c>
      <c r="F330" s="30" t="s">
        <v>481</v>
      </c>
      <c r="K330" s="27" t="b">
        <f>REGISTRO!F335=Hoja1!F330</f>
        <v>1</v>
      </c>
      <c r="L330">
        <v>329</v>
      </c>
    </row>
    <row r="331" spans="1:12" ht="15.75" customHeight="1" x14ac:dyDescent="0.25">
      <c r="A331" s="27" t="s">
        <v>436</v>
      </c>
      <c r="B331" s="28" t="s">
        <v>1316</v>
      </c>
      <c r="C331" s="79" t="s">
        <v>481</v>
      </c>
      <c r="D331" s="102" t="s">
        <v>1317</v>
      </c>
      <c r="E331" s="103" t="s">
        <v>1324</v>
      </c>
      <c r="F331" s="30" t="s">
        <v>481</v>
      </c>
      <c r="K331" s="27" t="b">
        <f>REGISTRO!F336=Hoja1!F331</f>
        <v>1</v>
      </c>
      <c r="L331">
        <v>330</v>
      </c>
    </row>
    <row r="332" spans="1:12" ht="15.75" customHeight="1" x14ac:dyDescent="0.25">
      <c r="A332" s="27" t="s">
        <v>436</v>
      </c>
      <c r="B332" s="28" t="s">
        <v>485</v>
      </c>
      <c r="C332" s="79" t="s">
        <v>486</v>
      </c>
      <c r="D332" s="28" t="s">
        <v>487</v>
      </c>
      <c r="E332" s="47" t="s">
        <v>1323</v>
      </c>
      <c r="F332" s="30" t="s">
        <v>486</v>
      </c>
      <c r="K332" s="27" t="b">
        <f>REGISTRO!F337=Hoja1!F332</f>
        <v>1</v>
      </c>
      <c r="L332">
        <v>331</v>
      </c>
    </row>
    <row r="333" spans="1:12" ht="15.75" customHeight="1" x14ac:dyDescent="0.25">
      <c r="A333" s="27" t="s">
        <v>436</v>
      </c>
      <c r="B333" s="28" t="s">
        <v>1025</v>
      </c>
      <c r="C333" s="79" t="s">
        <v>486</v>
      </c>
      <c r="D333" s="28" t="s">
        <v>1023</v>
      </c>
      <c r="E333" s="47" t="s">
        <v>1026</v>
      </c>
      <c r="F333" s="30" t="s">
        <v>486</v>
      </c>
      <c r="K333" s="27" t="b">
        <f>REGISTRO!F338=Hoja1!F333</f>
        <v>1</v>
      </c>
      <c r="L333">
        <v>332</v>
      </c>
    </row>
    <row r="334" spans="1:12" ht="15.75" customHeight="1" x14ac:dyDescent="0.25">
      <c r="A334" s="27" t="s">
        <v>436</v>
      </c>
      <c r="B334" s="28" t="s">
        <v>495</v>
      </c>
      <c r="C334" s="79" t="s">
        <v>491</v>
      </c>
      <c r="D334" s="28" t="s">
        <v>496</v>
      </c>
      <c r="E334" s="47" t="s">
        <v>586</v>
      </c>
      <c r="F334" s="30" t="s">
        <v>491</v>
      </c>
      <c r="K334" s="27" t="b">
        <f>REGISTRO!F339=Hoja1!F334</f>
        <v>1</v>
      </c>
      <c r="L334">
        <v>333</v>
      </c>
    </row>
    <row r="335" spans="1:12" ht="15.75" customHeight="1" x14ac:dyDescent="0.25">
      <c r="A335" s="27" t="s">
        <v>436</v>
      </c>
      <c r="B335" s="28" t="s">
        <v>490</v>
      </c>
      <c r="C335" s="79" t="s">
        <v>491</v>
      </c>
      <c r="D335" s="28" t="s">
        <v>492</v>
      </c>
      <c r="E335" s="47" t="s">
        <v>1146</v>
      </c>
      <c r="F335" s="30" t="s">
        <v>491</v>
      </c>
      <c r="K335" s="27" t="b">
        <f>REGISTRO!F340=Hoja1!F335</f>
        <v>1</v>
      </c>
      <c r="L335">
        <v>334</v>
      </c>
    </row>
    <row r="336" spans="1:12" ht="15.75" customHeight="1" x14ac:dyDescent="0.25">
      <c r="A336" s="27" t="s">
        <v>436</v>
      </c>
      <c r="B336" s="28" t="s">
        <v>624</v>
      </c>
      <c r="C336" s="79" t="s">
        <v>491</v>
      </c>
      <c r="D336" s="28" t="s">
        <v>378</v>
      </c>
      <c r="E336" s="47" t="s">
        <v>626</v>
      </c>
      <c r="F336" s="30" t="s">
        <v>491</v>
      </c>
      <c r="K336" s="27" t="b">
        <f>REGISTRO!F341=Hoja1!F336</f>
        <v>1</v>
      </c>
      <c r="L336">
        <v>335</v>
      </c>
    </row>
    <row r="337" spans="1:12" ht="15.75" customHeight="1" x14ac:dyDescent="0.25">
      <c r="A337" s="27" t="s">
        <v>436</v>
      </c>
      <c r="B337" s="28" t="s">
        <v>499</v>
      </c>
      <c r="C337" s="79" t="s">
        <v>498</v>
      </c>
      <c r="D337" s="28" t="s">
        <v>500</v>
      </c>
      <c r="E337" s="47" t="s">
        <v>810</v>
      </c>
      <c r="F337" s="30" t="s">
        <v>498</v>
      </c>
      <c r="K337" s="27" t="b">
        <f>REGISTRO!F342=Hoja1!F337</f>
        <v>1</v>
      </c>
      <c r="L337">
        <v>336</v>
      </c>
    </row>
    <row r="338" spans="1:12" ht="15.75" customHeight="1" x14ac:dyDescent="0.25">
      <c r="A338" s="34" t="s">
        <v>436</v>
      </c>
      <c r="B338" s="28" t="s">
        <v>503</v>
      </c>
      <c r="C338" s="79" t="s">
        <v>504</v>
      </c>
      <c r="D338" s="28" t="s">
        <v>439</v>
      </c>
      <c r="E338" s="47" t="s">
        <v>1086</v>
      </c>
      <c r="F338" s="30" t="s">
        <v>504</v>
      </c>
      <c r="K338" s="27" t="b">
        <f>REGISTRO!F343=Hoja1!F338</f>
        <v>1</v>
      </c>
      <c r="L338">
        <v>337</v>
      </c>
    </row>
    <row r="339" spans="1:12" ht="15.75" customHeight="1" x14ac:dyDescent="0.25">
      <c r="A339" s="34" t="s">
        <v>436</v>
      </c>
      <c r="B339" s="28" t="s">
        <v>437</v>
      </c>
      <c r="C339" s="79" t="s">
        <v>438</v>
      </c>
      <c r="D339" s="28" t="s">
        <v>439</v>
      </c>
      <c r="E339" s="47" t="s">
        <v>1087</v>
      </c>
      <c r="F339" s="30" t="s">
        <v>438</v>
      </c>
      <c r="K339" s="27" t="b">
        <f>REGISTRO!F344=Hoja1!F339</f>
        <v>1</v>
      </c>
      <c r="L339">
        <v>338</v>
      </c>
    </row>
    <row r="340" spans="1:12" ht="15.75" customHeight="1" x14ac:dyDescent="0.25">
      <c r="B340" s="28"/>
      <c r="C340" s="79"/>
      <c r="D340" s="28"/>
      <c r="K340" s="27"/>
    </row>
    <row r="341" spans="1:12" ht="15.75" customHeight="1" x14ac:dyDescent="0.25">
      <c r="B341" s="28"/>
      <c r="C341" s="79"/>
      <c r="D341" s="28"/>
      <c r="K341" s="27"/>
    </row>
    <row r="342" spans="1:12" ht="15.75" customHeight="1" x14ac:dyDescent="0.25">
      <c r="B342" s="28"/>
      <c r="C342" s="28"/>
      <c r="D342" s="28"/>
      <c r="K342" s="27"/>
    </row>
    <row r="343" spans="1:12" ht="15.75" customHeight="1" x14ac:dyDescent="0.25">
      <c r="B343" s="28"/>
      <c r="C343" s="28"/>
      <c r="D343" s="28"/>
      <c r="K343" s="27"/>
    </row>
    <row r="344" spans="1:12" ht="15.75" customHeight="1" x14ac:dyDescent="0.25">
      <c r="B344" s="28"/>
      <c r="C344" s="28"/>
      <c r="D344" s="28"/>
      <c r="K344" s="27"/>
    </row>
    <row r="345" spans="1:12" ht="15.75" customHeight="1" x14ac:dyDescent="0.25">
      <c r="B345" s="28"/>
      <c r="C345" s="28"/>
      <c r="D345" s="28"/>
      <c r="K345" s="27"/>
    </row>
    <row r="346" spans="1:12" ht="15.75" customHeight="1" x14ac:dyDescent="0.25">
      <c r="B346" s="28"/>
      <c r="C346" s="28"/>
      <c r="D346" s="28"/>
      <c r="K346" s="27"/>
    </row>
    <row r="347" spans="1:12" ht="15.75" customHeight="1" x14ac:dyDescent="0.25">
      <c r="B347" s="28"/>
      <c r="C347" s="28"/>
      <c r="D347" s="28"/>
      <c r="K347" s="27"/>
    </row>
    <row r="348" spans="1:12" ht="15.75" customHeight="1" x14ac:dyDescent="0.25">
      <c r="B348" s="28"/>
      <c r="C348" s="28"/>
      <c r="D348" s="28"/>
      <c r="K348" s="27"/>
    </row>
    <row r="349" spans="1:12" ht="15.75" customHeight="1" x14ac:dyDescent="0.25">
      <c r="B349" s="28"/>
      <c r="C349" s="28"/>
      <c r="D349" s="28"/>
      <c r="K349" s="27"/>
    </row>
    <row r="350" spans="1:12" ht="15.75" customHeight="1" x14ac:dyDescent="0.25">
      <c r="B350" s="28"/>
      <c r="C350" s="28"/>
      <c r="D350" s="28"/>
      <c r="K350" s="27"/>
    </row>
    <row r="351" spans="1:12" ht="15.75" customHeight="1" x14ac:dyDescent="0.25">
      <c r="B351" s="28"/>
      <c r="C351" s="28"/>
      <c r="D351" s="28"/>
      <c r="K351" s="27"/>
    </row>
    <row r="352" spans="1:12" ht="15.75" customHeight="1" x14ac:dyDescent="0.25">
      <c r="B352" s="28"/>
      <c r="C352" s="28"/>
      <c r="D352" s="28"/>
      <c r="K352" s="27"/>
    </row>
    <row r="353" spans="2:11" ht="15.75" customHeight="1" x14ac:dyDescent="0.25">
      <c r="B353" s="28"/>
      <c r="C353" s="28"/>
      <c r="D353" s="28"/>
      <c r="K353" s="27"/>
    </row>
    <row r="354" spans="2:11" ht="15.75" customHeight="1" x14ac:dyDescent="0.25">
      <c r="B354" s="28"/>
      <c r="C354" s="28"/>
      <c r="D354" s="28"/>
      <c r="K354" s="27"/>
    </row>
    <row r="355" spans="2:11" ht="15.75" customHeight="1" x14ac:dyDescent="0.25">
      <c r="B355" s="28"/>
      <c r="C355" s="28"/>
      <c r="D355" s="28"/>
      <c r="K355" s="27"/>
    </row>
    <row r="356" spans="2:11" ht="15.75" customHeight="1" x14ac:dyDescent="0.25">
      <c r="B356" s="28"/>
      <c r="C356" s="28"/>
      <c r="D356" s="28"/>
      <c r="K356" s="27"/>
    </row>
    <row r="357" spans="2:11" ht="15.75" customHeight="1" x14ac:dyDescent="0.25">
      <c r="B357" s="28"/>
      <c r="C357" s="28"/>
      <c r="D357" s="28"/>
      <c r="K357" s="27"/>
    </row>
    <row r="358" spans="2:11" ht="15.75" customHeight="1" x14ac:dyDescent="0.25">
      <c r="B358" s="28"/>
      <c r="C358" s="28"/>
      <c r="D358" s="28"/>
      <c r="K358" s="27"/>
    </row>
    <row r="359" spans="2:11" ht="15.75" customHeight="1" x14ac:dyDescent="0.25">
      <c r="B359" s="28"/>
      <c r="C359" s="28"/>
      <c r="D359" s="28"/>
      <c r="K359" s="27"/>
    </row>
    <row r="360" spans="2:11" ht="15.75" customHeight="1" x14ac:dyDescent="0.25">
      <c r="B360" s="28"/>
      <c r="C360" s="28"/>
      <c r="D360" s="28"/>
      <c r="K360" s="27"/>
    </row>
    <row r="361" spans="2:11" ht="15.75" customHeight="1" x14ac:dyDescent="0.25">
      <c r="B361" s="28"/>
      <c r="C361" s="28"/>
      <c r="D361" s="28"/>
      <c r="K361" s="27"/>
    </row>
    <row r="362" spans="2:11" ht="15.75" customHeight="1" x14ac:dyDescent="0.25">
      <c r="B362" s="28"/>
      <c r="C362" s="28"/>
      <c r="D362" s="28"/>
      <c r="K362" s="27"/>
    </row>
    <row r="363" spans="2:11" ht="15.75" customHeight="1" x14ac:dyDescent="0.25">
      <c r="B363" s="28"/>
      <c r="C363" s="28"/>
      <c r="D363" s="28"/>
      <c r="K363" s="27"/>
    </row>
    <row r="364" spans="2:11" ht="15.75" customHeight="1" x14ac:dyDescent="0.25">
      <c r="B364" s="28"/>
      <c r="C364" s="28"/>
      <c r="D364" s="28"/>
      <c r="K364" s="27"/>
    </row>
    <row r="365" spans="2:11" ht="15.75" customHeight="1" x14ac:dyDescent="0.25">
      <c r="B365" s="28"/>
      <c r="C365" s="28"/>
      <c r="D365" s="28"/>
      <c r="K365" s="27"/>
    </row>
    <row r="366" spans="2:11" ht="15.75" customHeight="1" x14ac:dyDescent="0.25">
      <c r="B366" s="28"/>
      <c r="C366" s="28"/>
      <c r="D366" s="28"/>
      <c r="K366" s="27"/>
    </row>
    <row r="367" spans="2:11" ht="15.75" customHeight="1" x14ac:dyDescent="0.25">
      <c r="B367" s="28"/>
      <c r="C367" s="28"/>
      <c r="D367" s="28"/>
      <c r="K367" s="27"/>
    </row>
    <row r="368" spans="2:11" ht="15.75" customHeight="1" x14ac:dyDescent="0.25">
      <c r="B368" s="28"/>
      <c r="C368" s="28"/>
      <c r="D368" s="28"/>
      <c r="K368" s="27"/>
    </row>
    <row r="369" spans="2:11" ht="15.75" customHeight="1" x14ac:dyDescent="0.25">
      <c r="B369" s="28"/>
      <c r="C369" s="28"/>
      <c r="D369" s="28"/>
      <c r="K369" s="27"/>
    </row>
    <row r="370" spans="2:11" ht="15.75" customHeight="1" x14ac:dyDescent="0.25">
      <c r="B370" s="28"/>
      <c r="C370" s="28"/>
      <c r="D370" s="28"/>
      <c r="K370" s="27"/>
    </row>
    <row r="371" spans="2:11" ht="15.75" customHeight="1" x14ac:dyDescent="0.25">
      <c r="B371" s="28"/>
      <c r="C371" s="28"/>
      <c r="D371" s="28"/>
      <c r="K371" s="27"/>
    </row>
    <row r="372" spans="2:11" ht="15.75" customHeight="1" x14ac:dyDescent="0.25">
      <c r="B372" s="28"/>
      <c r="C372" s="28"/>
      <c r="D372" s="28"/>
      <c r="K372" s="27"/>
    </row>
    <row r="373" spans="2:11" ht="15.75" customHeight="1" x14ac:dyDescent="0.25">
      <c r="B373" s="28"/>
      <c r="C373" s="28"/>
      <c r="D373" s="28"/>
      <c r="K373" s="27"/>
    </row>
    <row r="374" spans="2:11" ht="15.75" customHeight="1" x14ac:dyDescent="0.25">
      <c r="B374" s="28"/>
      <c r="C374" s="28"/>
      <c r="D374" s="28"/>
      <c r="K374" s="27"/>
    </row>
    <row r="375" spans="2:11" ht="15.75" customHeight="1" x14ac:dyDescent="0.25">
      <c r="B375" s="28"/>
      <c r="C375" s="28"/>
      <c r="D375" s="28"/>
      <c r="K375" s="27"/>
    </row>
    <row r="376" spans="2:11" ht="15.75" customHeight="1" x14ac:dyDescent="0.25">
      <c r="B376" s="28"/>
      <c r="C376" s="28"/>
      <c r="D376" s="28"/>
      <c r="K376" s="27"/>
    </row>
    <row r="377" spans="2:11" ht="15.75" customHeight="1" x14ac:dyDescent="0.25">
      <c r="B377" s="28"/>
      <c r="C377" s="28"/>
      <c r="D377" s="28"/>
      <c r="K377" s="27"/>
    </row>
    <row r="378" spans="2:11" ht="15.75" customHeight="1" x14ac:dyDescent="0.25">
      <c r="B378" s="28"/>
      <c r="C378" s="28"/>
      <c r="D378" s="28"/>
      <c r="K378" s="27"/>
    </row>
    <row r="379" spans="2:11" ht="15.75" customHeight="1" x14ac:dyDescent="0.25">
      <c r="B379" s="28"/>
      <c r="C379" s="28"/>
      <c r="D379" s="28"/>
      <c r="K379" s="27"/>
    </row>
    <row r="380" spans="2:11" ht="15.75" customHeight="1" x14ac:dyDescent="0.25">
      <c r="B380" s="28"/>
      <c r="C380" s="28"/>
      <c r="D380" s="28"/>
      <c r="K380" s="27"/>
    </row>
    <row r="381" spans="2:11" ht="15.75" customHeight="1" x14ac:dyDescent="0.25">
      <c r="B381" s="28"/>
      <c r="C381" s="28"/>
      <c r="D381" s="28"/>
      <c r="K381" s="27"/>
    </row>
    <row r="382" spans="2:11" ht="15.75" customHeight="1" x14ac:dyDescent="0.25">
      <c r="B382" s="28"/>
      <c r="C382" s="28"/>
      <c r="D382" s="28"/>
      <c r="K382" s="27"/>
    </row>
    <row r="383" spans="2:11" ht="15.75" customHeight="1" x14ac:dyDescent="0.25">
      <c r="B383" s="28"/>
      <c r="C383" s="28"/>
      <c r="D383" s="28"/>
      <c r="K383" s="27"/>
    </row>
    <row r="384" spans="2:11" ht="15.75" customHeight="1" x14ac:dyDescent="0.25">
      <c r="B384" s="28"/>
      <c r="C384" s="28"/>
      <c r="D384" s="28"/>
      <c r="K384" s="27"/>
    </row>
    <row r="385" spans="2:11" ht="15.75" customHeight="1" x14ac:dyDescent="0.25">
      <c r="B385" s="28"/>
      <c r="C385" s="28"/>
      <c r="D385" s="28"/>
      <c r="K385" s="27"/>
    </row>
    <row r="386" spans="2:11" ht="15.75" customHeight="1" x14ac:dyDescent="0.25">
      <c r="B386" s="28"/>
      <c r="C386" s="28"/>
      <c r="D386" s="28"/>
      <c r="K386" s="27"/>
    </row>
    <row r="387" spans="2:11" ht="15.75" customHeight="1" x14ac:dyDescent="0.25">
      <c r="B387" s="28"/>
      <c r="C387" s="28"/>
      <c r="D387" s="28"/>
      <c r="K387" s="27"/>
    </row>
    <row r="388" spans="2:11" ht="15.75" customHeight="1" x14ac:dyDescent="0.25">
      <c r="B388" s="28"/>
      <c r="C388" s="28"/>
      <c r="D388" s="28"/>
      <c r="K388" s="27"/>
    </row>
    <row r="389" spans="2:11" ht="15.75" customHeight="1" x14ac:dyDescent="0.25">
      <c r="B389" s="28"/>
      <c r="C389" s="28"/>
      <c r="D389" s="28"/>
      <c r="K389" s="27"/>
    </row>
    <row r="390" spans="2:11" ht="15.75" customHeight="1" x14ac:dyDescent="0.25">
      <c r="B390" s="28"/>
      <c r="C390" s="28"/>
      <c r="D390" s="28"/>
      <c r="K390" s="27"/>
    </row>
    <row r="391" spans="2:11" ht="15.75" customHeight="1" x14ac:dyDescent="0.25">
      <c r="B391" s="28"/>
      <c r="C391" s="28"/>
      <c r="D391" s="28"/>
      <c r="K391" s="27"/>
    </row>
    <row r="392" spans="2:11" ht="15.75" customHeight="1" x14ac:dyDescent="0.25">
      <c r="B392" s="28"/>
      <c r="C392" s="28"/>
      <c r="D392" s="28"/>
      <c r="K392" s="27"/>
    </row>
    <row r="393" spans="2:11" ht="15.75" customHeight="1" x14ac:dyDescent="0.25">
      <c r="B393" s="28"/>
      <c r="C393" s="28"/>
      <c r="D393" s="28"/>
      <c r="K393" s="27"/>
    </row>
    <row r="394" spans="2:11" ht="15.75" customHeight="1" x14ac:dyDescent="0.25">
      <c r="B394" s="28"/>
      <c r="C394" s="28"/>
      <c r="D394" s="28"/>
      <c r="K394" s="27"/>
    </row>
    <row r="395" spans="2:11" ht="15.75" customHeight="1" x14ac:dyDescent="0.25">
      <c r="B395" s="28"/>
      <c r="C395" s="28"/>
      <c r="D395" s="28"/>
      <c r="K395" s="27"/>
    </row>
    <row r="396" spans="2:11" ht="15.75" customHeight="1" x14ac:dyDescent="0.25">
      <c r="B396" s="28"/>
      <c r="C396" s="28"/>
      <c r="D396" s="28"/>
      <c r="K396" s="27"/>
    </row>
    <row r="397" spans="2:11" ht="15.75" customHeight="1" x14ac:dyDescent="0.25">
      <c r="B397" s="28"/>
      <c r="C397" s="28"/>
      <c r="D397" s="28"/>
      <c r="K397" s="27"/>
    </row>
    <row r="398" spans="2:11" ht="15.75" customHeight="1" x14ac:dyDescent="0.25">
      <c r="B398" s="28"/>
      <c r="C398" s="28"/>
      <c r="D398" s="28"/>
      <c r="K398" s="27"/>
    </row>
    <row r="399" spans="2:11" ht="15.75" customHeight="1" x14ac:dyDescent="0.25">
      <c r="B399" s="28"/>
      <c r="C399" s="28"/>
      <c r="D399" s="28"/>
      <c r="K399" s="27"/>
    </row>
    <row r="400" spans="2:11" ht="15.75" customHeight="1" x14ac:dyDescent="0.25">
      <c r="B400" s="28"/>
      <c r="C400" s="28"/>
      <c r="D400" s="28"/>
      <c r="K400" s="27"/>
    </row>
    <row r="401" spans="2:11" ht="15.75" customHeight="1" x14ac:dyDescent="0.25">
      <c r="B401" s="28"/>
      <c r="C401" s="28"/>
      <c r="D401" s="28"/>
      <c r="K401" s="27"/>
    </row>
    <row r="402" spans="2:11" ht="15.75" customHeight="1" x14ac:dyDescent="0.25">
      <c r="B402" s="28"/>
      <c r="C402" s="28"/>
      <c r="D402" s="28"/>
      <c r="K402" s="27"/>
    </row>
    <row r="403" spans="2:11" ht="15.75" customHeight="1" x14ac:dyDescent="0.25">
      <c r="B403" s="28"/>
      <c r="C403" s="28"/>
      <c r="D403" s="28"/>
      <c r="K403" s="27"/>
    </row>
    <row r="404" spans="2:11" ht="15.75" customHeight="1" x14ac:dyDescent="0.25">
      <c r="B404" s="28"/>
      <c r="C404" s="28"/>
      <c r="D404" s="28"/>
      <c r="K404" s="27"/>
    </row>
    <row r="405" spans="2:11" ht="15.75" customHeight="1" x14ac:dyDescent="0.25">
      <c r="B405" s="28"/>
      <c r="C405" s="28"/>
      <c r="D405" s="28"/>
      <c r="K405" s="27"/>
    </row>
    <row r="406" spans="2:11" ht="15.75" customHeight="1" x14ac:dyDescent="0.25">
      <c r="B406" s="28"/>
      <c r="C406" s="28"/>
      <c r="D406" s="28"/>
      <c r="K406" s="27"/>
    </row>
    <row r="407" spans="2:11" ht="15.75" customHeight="1" x14ac:dyDescent="0.25">
      <c r="B407" s="28"/>
      <c r="C407" s="28"/>
      <c r="D407" s="28"/>
      <c r="K407" s="27"/>
    </row>
    <row r="408" spans="2:11" ht="15.75" customHeight="1" x14ac:dyDescent="0.25">
      <c r="B408" s="28"/>
      <c r="C408" s="28"/>
      <c r="D408" s="28"/>
      <c r="K408" s="27"/>
    </row>
    <row r="409" spans="2:11" ht="15.75" customHeight="1" x14ac:dyDescent="0.25">
      <c r="B409" s="28"/>
      <c r="C409" s="28"/>
      <c r="D409" s="28"/>
      <c r="K409" s="27"/>
    </row>
    <row r="410" spans="2:11" ht="15.75" customHeight="1" x14ac:dyDescent="0.25">
      <c r="B410" s="28"/>
      <c r="C410" s="28"/>
      <c r="D410" s="28"/>
      <c r="K410" s="27"/>
    </row>
    <row r="411" spans="2:11" ht="15.75" customHeight="1" x14ac:dyDescent="0.25">
      <c r="B411" s="28"/>
      <c r="C411" s="28"/>
      <c r="D411" s="28"/>
      <c r="K411" s="27"/>
    </row>
    <row r="412" spans="2:11" ht="15.75" customHeight="1" x14ac:dyDescent="0.25">
      <c r="B412" s="28"/>
      <c r="C412" s="28"/>
      <c r="D412" s="28"/>
      <c r="K412" s="27"/>
    </row>
    <row r="413" spans="2:11" ht="15.75" customHeight="1" x14ac:dyDescent="0.25">
      <c r="B413" s="28"/>
      <c r="C413" s="28"/>
      <c r="D413" s="28"/>
      <c r="K413" s="27"/>
    </row>
    <row r="414" spans="2:11" ht="15.75" customHeight="1" x14ac:dyDescent="0.25">
      <c r="B414" s="28"/>
      <c r="C414" s="28"/>
      <c r="D414" s="28"/>
      <c r="K414" s="27"/>
    </row>
    <row r="415" spans="2:11" ht="15.75" customHeight="1" x14ac:dyDescent="0.25">
      <c r="B415" s="28"/>
      <c r="C415" s="28"/>
      <c r="D415" s="28"/>
      <c r="K415" s="27"/>
    </row>
    <row r="416" spans="2:11" ht="15.75" customHeight="1" x14ac:dyDescent="0.25">
      <c r="B416" s="28"/>
      <c r="C416" s="28"/>
      <c r="D416" s="28"/>
      <c r="K416" s="27"/>
    </row>
    <row r="417" spans="2:11" ht="15.75" customHeight="1" x14ac:dyDescent="0.25">
      <c r="B417" s="28"/>
      <c r="C417" s="28"/>
      <c r="D417" s="28"/>
      <c r="K417" s="27"/>
    </row>
    <row r="418" spans="2:11" ht="15.75" customHeight="1" x14ac:dyDescent="0.25">
      <c r="B418" s="28"/>
      <c r="C418" s="28"/>
      <c r="D418" s="28"/>
      <c r="K418" s="27"/>
    </row>
    <row r="419" spans="2:11" ht="15.75" customHeight="1" x14ac:dyDescent="0.25">
      <c r="B419" s="28"/>
      <c r="C419" s="28"/>
      <c r="D419" s="28"/>
      <c r="K419" s="27"/>
    </row>
    <row r="420" spans="2:11" ht="15.75" customHeight="1" x14ac:dyDescent="0.25">
      <c r="B420" s="28"/>
      <c r="C420" s="28"/>
      <c r="D420" s="28"/>
      <c r="K420" s="27"/>
    </row>
    <row r="421" spans="2:11" ht="15.75" customHeight="1" x14ac:dyDescent="0.25">
      <c r="B421" s="28"/>
      <c r="C421" s="28"/>
      <c r="D421" s="28"/>
      <c r="K421" s="27"/>
    </row>
    <row r="422" spans="2:11" ht="15.75" customHeight="1" x14ac:dyDescent="0.25">
      <c r="B422" s="28"/>
      <c r="C422" s="28"/>
      <c r="D422" s="28"/>
      <c r="K422" s="27"/>
    </row>
    <row r="423" spans="2:11" ht="15.75" customHeight="1" x14ac:dyDescent="0.25">
      <c r="B423" s="28"/>
      <c r="C423" s="28"/>
      <c r="D423" s="28"/>
      <c r="K423" s="27"/>
    </row>
    <row r="424" spans="2:11" ht="15.75" customHeight="1" x14ac:dyDescent="0.25">
      <c r="B424" s="28"/>
      <c r="C424" s="28"/>
      <c r="D424" s="28"/>
      <c r="K424" s="27"/>
    </row>
    <row r="425" spans="2:11" ht="15.75" customHeight="1" x14ac:dyDescent="0.25">
      <c r="B425" s="28"/>
      <c r="C425" s="28"/>
      <c r="D425" s="28"/>
      <c r="K425" s="27"/>
    </row>
    <row r="426" spans="2:11" ht="15.75" customHeight="1" x14ac:dyDescent="0.25">
      <c r="B426" s="28"/>
      <c r="C426" s="28"/>
      <c r="D426" s="28"/>
      <c r="K426" s="27"/>
    </row>
    <row r="427" spans="2:11" ht="15.75" customHeight="1" x14ac:dyDescent="0.25">
      <c r="B427" s="28"/>
      <c r="C427" s="28"/>
      <c r="D427" s="28"/>
      <c r="K427" s="27"/>
    </row>
    <row r="428" spans="2:11" ht="15.75" customHeight="1" x14ac:dyDescent="0.25">
      <c r="B428" s="28"/>
      <c r="C428" s="28"/>
      <c r="D428" s="28"/>
      <c r="K428" s="27"/>
    </row>
    <row r="429" spans="2:11" ht="15.75" customHeight="1" x14ac:dyDescent="0.25">
      <c r="B429" s="28"/>
      <c r="C429" s="28"/>
      <c r="D429" s="28"/>
      <c r="K429" s="27"/>
    </row>
    <row r="430" spans="2:11" ht="15.75" customHeight="1" x14ac:dyDescent="0.25">
      <c r="B430" s="28"/>
      <c r="C430" s="28"/>
      <c r="D430" s="28"/>
      <c r="K430" s="27"/>
    </row>
    <row r="431" spans="2:11" ht="15.75" customHeight="1" x14ac:dyDescent="0.25">
      <c r="B431" s="28"/>
      <c r="C431" s="28"/>
      <c r="D431" s="28"/>
      <c r="K431" s="27"/>
    </row>
    <row r="432" spans="2:11" ht="15.75" customHeight="1" x14ac:dyDescent="0.25">
      <c r="B432" s="28"/>
      <c r="C432" s="28"/>
      <c r="D432" s="28"/>
      <c r="K432" s="27"/>
    </row>
    <row r="433" spans="2:11" ht="15.75" customHeight="1" x14ac:dyDescent="0.25">
      <c r="B433" s="28"/>
      <c r="C433" s="28"/>
      <c r="D433" s="28"/>
      <c r="K433" s="27"/>
    </row>
    <row r="434" spans="2:11" ht="15.75" customHeight="1" x14ac:dyDescent="0.25">
      <c r="B434" s="28"/>
      <c r="C434" s="28"/>
      <c r="D434" s="28"/>
      <c r="K434" s="27"/>
    </row>
    <row r="435" spans="2:11" ht="15.75" customHeight="1" x14ac:dyDescent="0.25">
      <c r="B435" s="28"/>
      <c r="C435" s="28"/>
      <c r="D435" s="28"/>
      <c r="K435" s="27"/>
    </row>
    <row r="436" spans="2:11" ht="15.75" customHeight="1" x14ac:dyDescent="0.25">
      <c r="B436" s="28"/>
      <c r="C436" s="28"/>
      <c r="D436" s="28"/>
      <c r="K436" s="27"/>
    </row>
    <row r="437" spans="2:11" ht="15.75" customHeight="1" x14ac:dyDescent="0.25">
      <c r="B437" s="28"/>
      <c r="C437" s="28"/>
      <c r="D437" s="28"/>
      <c r="K437" s="27"/>
    </row>
    <row r="438" spans="2:11" ht="15.75" customHeight="1" x14ac:dyDescent="0.25">
      <c r="B438" s="28"/>
      <c r="C438" s="28"/>
      <c r="D438" s="28"/>
      <c r="K438" s="27"/>
    </row>
    <row r="439" spans="2:11" ht="15.75" customHeight="1" x14ac:dyDescent="0.25">
      <c r="B439" s="28"/>
      <c r="C439" s="28"/>
      <c r="D439" s="28"/>
      <c r="K439" s="27"/>
    </row>
    <row r="440" spans="2:11" ht="15.75" customHeight="1" x14ac:dyDescent="0.25">
      <c r="B440" s="28"/>
      <c r="C440" s="28"/>
      <c r="D440" s="28"/>
      <c r="K440" s="27"/>
    </row>
    <row r="441" spans="2:11" ht="15.75" customHeight="1" x14ac:dyDescent="0.25">
      <c r="B441" s="28"/>
      <c r="C441" s="28"/>
      <c r="D441" s="28"/>
      <c r="K441" s="27"/>
    </row>
    <row r="442" spans="2:11" ht="15.75" customHeight="1" x14ac:dyDescent="0.25">
      <c r="B442" s="28"/>
      <c r="C442" s="28"/>
      <c r="D442" s="28"/>
      <c r="K442" s="27"/>
    </row>
    <row r="443" spans="2:11" ht="15.75" customHeight="1" x14ac:dyDescent="0.25">
      <c r="B443" s="28"/>
      <c r="C443" s="28"/>
      <c r="D443" s="28"/>
      <c r="K443" s="27"/>
    </row>
    <row r="444" spans="2:11" ht="15.75" customHeight="1" x14ac:dyDescent="0.25">
      <c r="B444" s="28"/>
      <c r="C444" s="28"/>
      <c r="D444" s="28"/>
      <c r="K444" s="27"/>
    </row>
    <row r="445" spans="2:11" ht="15.75" customHeight="1" x14ac:dyDescent="0.25">
      <c r="B445" s="28"/>
      <c r="C445" s="28"/>
      <c r="D445" s="28"/>
      <c r="K445" s="27"/>
    </row>
    <row r="446" spans="2:11" ht="15.75" customHeight="1" x14ac:dyDescent="0.25">
      <c r="B446" s="28"/>
      <c r="C446" s="28"/>
      <c r="D446" s="28"/>
      <c r="K446" s="27"/>
    </row>
    <row r="447" spans="2:11" ht="15.75" customHeight="1" x14ac:dyDescent="0.25">
      <c r="B447" s="28"/>
      <c r="C447" s="28"/>
      <c r="D447" s="28"/>
      <c r="K447" s="27"/>
    </row>
    <row r="448" spans="2:11" ht="15.75" customHeight="1" x14ac:dyDescent="0.25">
      <c r="B448" s="28"/>
      <c r="C448" s="28"/>
      <c r="D448" s="28"/>
      <c r="K448" s="27"/>
    </row>
    <row r="449" spans="2:11" ht="15.75" customHeight="1" x14ac:dyDescent="0.25">
      <c r="B449" s="28"/>
      <c r="C449" s="28"/>
      <c r="D449" s="28"/>
      <c r="K449" s="27"/>
    </row>
    <row r="450" spans="2:11" ht="15.75" customHeight="1" x14ac:dyDescent="0.25">
      <c r="B450" s="28"/>
      <c r="C450" s="28"/>
      <c r="D450" s="28"/>
      <c r="K450" s="27"/>
    </row>
    <row r="451" spans="2:11" ht="15.75" customHeight="1" x14ac:dyDescent="0.25">
      <c r="B451" s="28"/>
      <c r="C451" s="28"/>
      <c r="D451" s="28"/>
      <c r="K451" s="27"/>
    </row>
    <row r="452" spans="2:11" ht="15.75" customHeight="1" x14ac:dyDescent="0.25">
      <c r="B452" s="28"/>
      <c r="C452" s="28"/>
      <c r="D452" s="28"/>
      <c r="K452" s="27"/>
    </row>
    <row r="453" spans="2:11" ht="15.75" customHeight="1" x14ac:dyDescent="0.25">
      <c r="B453" s="28"/>
      <c r="C453" s="28"/>
      <c r="D453" s="28"/>
      <c r="K453" s="27"/>
    </row>
    <row r="454" spans="2:11" ht="15.75" customHeight="1" x14ac:dyDescent="0.25">
      <c r="B454" s="28"/>
      <c r="C454" s="28"/>
      <c r="D454" s="28"/>
      <c r="K454" s="27"/>
    </row>
    <row r="455" spans="2:11" ht="15.75" customHeight="1" x14ac:dyDescent="0.25">
      <c r="B455" s="28"/>
      <c r="C455" s="28"/>
      <c r="D455" s="28"/>
      <c r="K455" s="27"/>
    </row>
    <row r="456" spans="2:11" ht="15.75" customHeight="1" x14ac:dyDescent="0.25">
      <c r="B456" s="28"/>
      <c r="C456" s="28"/>
      <c r="D456" s="28"/>
      <c r="K456" s="27"/>
    </row>
    <row r="457" spans="2:11" ht="15.75" customHeight="1" x14ac:dyDescent="0.25">
      <c r="B457" s="28"/>
      <c r="C457" s="28"/>
      <c r="D457" s="28"/>
      <c r="K457" s="27"/>
    </row>
    <row r="458" spans="2:11" ht="15.75" customHeight="1" x14ac:dyDescent="0.25">
      <c r="B458" s="28"/>
      <c r="C458" s="28"/>
      <c r="D458" s="28"/>
      <c r="K458" s="27"/>
    </row>
    <row r="459" spans="2:11" ht="15.75" customHeight="1" x14ac:dyDescent="0.25">
      <c r="B459" s="28"/>
      <c r="C459" s="28"/>
      <c r="D459" s="28"/>
      <c r="K459" s="27"/>
    </row>
    <row r="460" spans="2:11" ht="15.75" customHeight="1" x14ac:dyDescent="0.25">
      <c r="B460" s="28"/>
      <c r="C460" s="28"/>
      <c r="D460" s="28"/>
      <c r="K460" s="27"/>
    </row>
    <row r="461" spans="2:11" ht="15.75" customHeight="1" x14ac:dyDescent="0.25">
      <c r="B461" s="28"/>
      <c r="C461" s="28"/>
      <c r="D461" s="28"/>
      <c r="K461" s="27"/>
    </row>
    <row r="462" spans="2:11" ht="15.75" customHeight="1" x14ac:dyDescent="0.25">
      <c r="B462" s="28"/>
      <c r="C462" s="28"/>
      <c r="D462" s="28"/>
      <c r="K462" s="27"/>
    </row>
    <row r="463" spans="2:11" ht="15.75" customHeight="1" x14ac:dyDescent="0.25">
      <c r="B463" s="28"/>
      <c r="C463" s="28"/>
      <c r="D463" s="28"/>
      <c r="K463" s="27"/>
    </row>
    <row r="464" spans="2:11" ht="15.75" customHeight="1" x14ac:dyDescent="0.25">
      <c r="B464" s="28"/>
      <c r="C464" s="28"/>
      <c r="D464" s="28"/>
      <c r="K464" s="27"/>
    </row>
    <row r="465" spans="2:11" ht="15.75" customHeight="1" x14ac:dyDescent="0.25">
      <c r="B465" s="28"/>
      <c r="C465" s="28"/>
      <c r="D465" s="28"/>
      <c r="K465" s="27"/>
    </row>
    <row r="466" spans="2:11" ht="15.75" customHeight="1" x14ac:dyDescent="0.25">
      <c r="B466" s="28"/>
      <c r="C466" s="28"/>
      <c r="D466" s="28"/>
      <c r="K466" s="27"/>
    </row>
    <row r="467" spans="2:11" ht="15.75" customHeight="1" x14ac:dyDescent="0.25">
      <c r="B467" s="28"/>
      <c r="C467" s="28"/>
      <c r="D467" s="28"/>
      <c r="K467" s="27"/>
    </row>
    <row r="468" spans="2:11" ht="15.75" customHeight="1" x14ac:dyDescent="0.25">
      <c r="B468" s="28"/>
      <c r="C468" s="28"/>
      <c r="D468" s="28"/>
      <c r="K468" s="27"/>
    </row>
    <row r="469" spans="2:11" ht="15.75" customHeight="1" x14ac:dyDescent="0.25">
      <c r="B469" s="28"/>
      <c r="C469" s="28"/>
      <c r="D469" s="28"/>
      <c r="K469" s="27"/>
    </row>
    <row r="470" spans="2:11" ht="15.75" customHeight="1" x14ac:dyDescent="0.25">
      <c r="B470" s="28"/>
      <c r="C470" s="28"/>
      <c r="D470" s="28"/>
      <c r="K470" s="27"/>
    </row>
    <row r="471" spans="2:11" ht="15.75" customHeight="1" x14ac:dyDescent="0.25">
      <c r="B471" s="28"/>
      <c r="C471" s="28"/>
      <c r="D471" s="28"/>
      <c r="K471" s="27"/>
    </row>
    <row r="472" spans="2:11" ht="15.75" customHeight="1" x14ac:dyDescent="0.25">
      <c r="B472" s="28"/>
      <c r="C472" s="28"/>
      <c r="D472" s="28"/>
      <c r="K472" s="27"/>
    </row>
    <row r="473" spans="2:11" ht="15.75" customHeight="1" x14ac:dyDescent="0.25">
      <c r="B473" s="28"/>
      <c r="C473" s="28"/>
      <c r="D473" s="28"/>
      <c r="K473" s="27"/>
    </row>
    <row r="474" spans="2:11" ht="15.75" customHeight="1" x14ac:dyDescent="0.25">
      <c r="B474" s="28"/>
      <c r="C474" s="28"/>
      <c r="D474" s="28"/>
      <c r="K474" s="27"/>
    </row>
    <row r="475" spans="2:11" ht="15.75" customHeight="1" x14ac:dyDescent="0.25">
      <c r="B475" s="28"/>
      <c r="C475" s="28"/>
      <c r="D475" s="28"/>
      <c r="K475" s="27"/>
    </row>
    <row r="476" spans="2:11" ht="15.75" customHeight="1" x14ac:dyDescent="0.25">
      <c r="B476" s="28"/>
      <c r="C476" s="28"/>
      <c r="D476" s="28"/>
      <c r="K476" s="27"/>
    </row>
    <row r="477" spans="2:11" ht="15.75" customHeight="1" x14ac:dyDescent="0.25">
      <c r="B477" s="28"/>
      <c r="C477" s="28"/>
      <c r="D477" s="28"/>
      <c r="K477" s="27"/>
    </row>
    <row r="478" spans="2:11" ht="15.75" customHeight="1" x14ac:dyDescent="0.25">
      <c r="B478" s="28"/>
      <c r="C478" s="28"/>
      <c r="D478" s="28"/>
      <c r="K478" s="27"/>
    </row>
    <row r="479" spans="2:11" ht="15.75" customHeight="1" x14ac:dyDescent="0.25">
      <c r="B479" s="28"/>
      <c r="C479" s="28"/>
      <c r="D479" s="28"/>
      <c r="K479" s="27"/>
    </row>
    <row r="480" spans="2:11" ht="15.75" customHeight="1" x14ac:dyDescent="0.25">
      <c r="B480" s="28"/>
      <c r="C480" s="28"/>
      <c r="D480" s="28"/>
      <c r="K480" s="27"/>
    </row>
    <row r="481" spans="2:11" ht="15.75" customHeight="1" x14ac:dyDescent="0.25">
      <c r="B481" s="28"/>
      <c r="C481" s="28"/>
      <c r="D481" s="28"/>
      <c r="K481" s="27"/>
    </row>
    <row r="482" spans="2:11" ht="15.75" customHeight="1" x14ac:dyDescent="0.25">
      <c r="B482" s="28"/>
      <c r="C482" s="28"/>
      <c r="D482" s="28"/>
      <c r="K482" s="27"/>
    </row>
    <row r="483" spans="2:11" ht="15.75" customHeight="1" x14ac:dyDescent="0.25">
      <c r="B483" s="28"/>
      <c r="C483" s="28"/>
      <c r="D483" s="28"/>
      <c r="K483" s="27"/>
    </row>
    <row r="484" spans="2:11" ht="15.75" customHeight="1" x14ac:dyDescent="0.25">
      <c r="B484" s="28"/>
      <c r="C484" s="28"/>
      <c r="D484" s="28"/>
      <c r="K484" s="27"/>
    </row>
    <row r="485" spans="2:11" ht="15.75" customHeight="1" x14ac:dyDescent="0.25">
      <c r="B485" s="28"/>
      <c r="C485" s="28"/>
      <c r="D485" s="28"/>
      <c r="K485" s="27"/>
    </row>
    <row r="486" spans="2:11" ht="15.75" customHeight="1" x14ac:dyDescent="0.25">
      <c r="B486" s="28"/>
      <c r="C486" s="28"/>
      <c r="D486" s="28"/>
      <c r="K486" s="27"/>
    </row>
    <row r="487" spans="2:11" ht="15.75" customHeight="1" x14ac:dyDescent="0.25">
      <c r="B487" s="28"/>
      <c r="C487" s="28"/>
      <c r="D487" s="28"/>
      <c r="K487" s="27"/>
    </row>
    <row r="488" spans="2:11" ht="15.75" customHeight="1" x14ac:dyDescent="0.25">
      <c r="B488" s="28"/>
      <c r="C488" s="28"/>
      <c r="D488" s="28"/>
      <c r="K488" s="27"/>
    </row>
    <row r="489" spans="2:11" ht="15.75" customHeight="1" x14ac:dyDescent="0.25">
      <c r="B489" s="28"/>
      <c r="C489" s="28"/>
      <c r="D489" s="28"/>
      <c r="K489" s="27"/>
    </row>
    <row r="490" spans="2:11" ht="15.75" customHeight="1" x14ac:dyDescent="0.25">
      <c r="B490" s="28"/>
      <c r="C490" s="28"/>
      <c r="D490" s="28"/>
      <c r="K490" s="27"/>
    </row>
    <row r="491" spans="2:11" ht="15.75" customHeight="1" x14ac:dyDescent="0.25">
      <c r="B491" s="28"/>
      <c r="C491" s="28"/>
      <c r="D491" s="28"/>
      <c r="K491" s="27"/>
    </row>
    <row r="492" spans="2:11" ht="15.75" customHeight="1" x14ac:dyDescent="0.25">
      <c r="B492" s="28"/>
      <c r="C492" s="28"/>
      <c r="D492" s="28"/>
      <c r="K492" s="27"/>
    </row>
    <row r="493" spans="2:11" ht="15.75" customHeight="1" x14ac:dyDescent="0.25">
      <c r="B493" s="28"/>
      <c r="C493" s="28"/>
      <c r="D493" s="28"/>
    </row>
    <row r="494" spans="2:11" ht="15.75" customHeight="1" x14ac:dyDescent="0.25">
      <c r="B494" s="28"/>
      <c r="C494" s="28"/>
      <c r="D494" s="28"/>
    </row>
    <row r="495" spans="2:11" ht="15.75" customHeight="1" x14ac:dyDescent="0.25">
      <c r="B495" s="28"/>
      <c r="C495" s="28"/>
      <c r="D495" s="28"/>
    </row>
    <row r="496" spans="2:11" ht="15.75" customHeight="1" x14ac:dyDescent="0.25">
      <c r="B496" s="28"/>
      <c r="C496" s="28"/>
      <c r="D496" s="28"/>
    </row>
    <row r="497" spans="2:4" ht="15.75" customHeight="1" x14ac:dyDescent="0.25">
      <c r="B497" s="28"/>
      <c r="C497" s="28"/>
      <c r="D497" s="28"/>
    </row>
    <row r="498" spans="2:4" ht="15.75" customHeight="1" x14ac:dyDescent="0.25">
      <c r="B498" s="28"/>
      <c r="C498" s="28"/>
      <c r="D498" s="28"/>
    </row>
    <row r="499" spans="2:4" ht="15.75" customHeight="1" x14ac:dyDescent="0.25">
      <c r="B499" s="28"/>
      <c r="C499" s="28"/>
      <c r="D499" s="28"/>
    </row>
    <row r="500" spans="2:4" ht="15.75" customHeight="1" x14ac:dyDescent="0.25">
      <c r="B500" s="28"/>
      <c r="C500" s="28"/>
      <c r="D500" s="28"/>
    </row>
    <row r="501" spans="2:4" ht="15.75" customHeight="1" x14ac:dyDescent="0.25">
      <c r="B501" s="28"/>
      <c r="C501" s="28"/>
      <c r="D501" s="28"/>
    </row>
    <row r="502" spans="2:4" ht="15.75" customHeight="1" x14ac:dyDescent="0.25">
      <c r="B502" s="28"/>
      <c r="C502" s="28"/>
      <c r="D502" s="28"/>
    </row>
    <row r="503" spans="2:4" ht="15.75" customHeight="1" x14ac:dyDescent="0.25">
      <c r="B503" s="28"/>
      <c r="C503" s="28"/>
      <c r="D503" s="28"/>
    </row>
    <row r="504" spans="2:4" ht="15.75" customHeight="1" x14ac:dyDescent="0.25">
      <c r="B504" s="28"/>
      <c r="C504" s="28"/>
      <c r="D504" s="28"/>
    </row>
    <row r="505" spans="2:4" ht="15.75" customHeight="1" x14ac:dyDescent="0.25">
      <c r="B505" s="28"/>
      <c r="C505" s="28"/>
      <c r="D505" s="28"/>
    </row>
    <row r="506" spans="2:4" ht="15.75" customHeight="1" x14ac:dyDescent="0.25">
      <c r="B506" s="28"/>
      <c r="C506" s="28"/>
      <c r="D506" s="28"/>
    </row>
    <row r="507" spans="2:4" ht="15.75" customHeight="1" x14ac:dyDescent="0.25">
      <c r="B507" s="28"/>
      <c r="C507" s="28"/>
      <c r="D507" s="28"/>
    </row>
    <row r="508" spans="2:4" ht="15.75" customHeight="1" x14ac:dyDescent="0.25">
      <c r="B508" s="28"/>
      <c r="C508" s="28"/>
      <c r="D508" s="28"/>
    </row>
    <row r="509" spans="2:4" ht="15.75" customHeight="1" x14ac:dyDescent="0.25">
      <c r="B509" s="28"/>
      <c r="C509" s="28"/>
      <c r="D509" s="28"/>
    </row>
    <row r="510" spans="2:4" ht="15.75" customHeight="1" x14ac:dyDescent="0.25">
      <c r="B510" s="28"/>
      <c r="C510" s="28"/>
      <c r="D510" s="28"/>
    </row>
    <row r="511" spans="2:4" ht="15.75" customHeight="1" x14ac:dyDescent="0.25">
      <c r="B511" s="28"/>
      <c r="C511" s="28"/>
      <c r="D511" s="28"/>
    </row>
    <row r="512" spans="2:4" ht="15.75" customHeight="1" x14ac:dyDescent="0.25">
      <c r="B512" s="28"/>
      <c r="C512" s="28"/>
      <c r="D512" s="28"/>
    </row>
    <row r="513" spans="2:4" ht="15.75" customHeight="1" x14ac:dyDescent="0.25">
      <c r="B513" s="28"/>
      <c r="C513" s="28"/>
      <c r="D513" s="28"/>
    </row>
    <row r="514" spans="2:4" ht="15.75" customHeight="1" x14ac:dyDescent="0.25">
      <c r="B514" s="28"/>
      <c r="C514" s="28"/>
      <c r="D514" s="28"/>
    </row>
    <row r="515" spans="2:4" ht="15.75" customHeight="1" x14ac:dyDescent="0.25">
      <c r="B515" s="28"/>
      <c r="C515" s="28"/>
      <c r="D515" s="28"/>
    </row>
    <row r="516" spans="2:4" ht="15.75" customHeight="1" x14ac:dyDescent="0.25">
      <c r="B516" s="28"/>
      <c r="C516" s="28"/>
      <c r="D516" s="28"/>
    </row>
    <row r="517" spans="2:4" ht="15.75" customHeight="1" x14ac:dyDescent="0.25">
      <c r="B517" s="28"/>
      <c r="C517" s="28"/>
      <c r="D517" s="28"/>
    </row>
    <row r="518" spans="2:4" ht="15.75" customHeight="1" x14ac:dyDescent="0.25">
      <c r="B518" s="28"/>
      <c r="C518" s="28"/>
      <c r="D518" s="28"/>
    </row>
    <row r="519" spans="2:4" ht="15.75" customHeight="1" x14ac:dyDescent="0.25">
      <c r="B519" s="28"/>
      <c r="C519" s="28"/>
      <c r="D519" s="28"/>
    </row>
    <row r="520" spans="2:4" ht="15.75" customHeight="1" x14ac:dyDescent="0.25">
      <c r="B520" s="28"/>
      <c r="C520" s="28"/>
      <c r="D520" s="28"/>
    </row>
    <row r="521" spans="2:4" ht="15.75" customHeight="1" x14ac:dyDescent="0.25">
      <c r="B521" s="28"/>
      <c r="C521" s="28"/>
      <c r="D521" s="28"/>
    </row>
    <row r="522" spans="2:4" ht="15.75" customHeight="1" x14ac:dyDescent="0.25">
      <c r="B522" s="28"/>
      <c r="C522" s="28"/>
      <c r="D522" s="28"/>
    </row>
    <row r="523" spans="2:4" ht="15.75" customHeight="1" x14ac:dyDescent="0.25">
      <c r="B523" s="28"/>
      <c r="C523" s="28"/>
      <c r="D523" s="28"/>
    </row>
    <row r="524" spans="2:4" ht="15.75" customHeight="1" x14ac:dyDescent="0.25">
      <c r="B524" s="28"/>
      <c r="C524" s="28"/>
      <c r="D524" s="28"/>
    </row>
    <row r="525" spans="2:4" ht="15.75" customHeight="1" x14ac:dyDescent="0.25">
      <c r="B525" s="28"/>
      <c r="C525" s="28"/>
      <c r="D525" s="28"/>
    </row>
    <row r="526" spans="2:4" ht="15.75" customHeight="1" x14ac:dyDescent="0.25">
      <c r="B526" s="28"/>
      <c r="C526" s="28"/>
      <c r="D526" s="28"/>
    </row>
    <row r="527" spans="2:4" ht="15.75" customHeight="1" x14ac:dyDescent="0.25">
      <c r="B527" s="28"/>
      <c r="C527" s="28"/>
      <c r="D527" s="28"/>
    </row>
    <row r="528" spans="2:4" ht="15.75" customHeight="1" x14ac:dyDescent="0.25">
      <c r="B528" s="28"/>
      <c r="C528" s="28"/>
      <c r="D528" s="28"/>
    </row>
    <row r="529" spans="2:4" ht="15.75" customHeight="1" x14ac:dyDescent="0.25">
      <c r="B529" s="28"/>
      <c r="C529" s="28"/>
      <c r="D529" s="28"/>
    </row>
    <row r="530" spans="2:4" ht="15.75" customHeight="1" x14ac:dyDescent="0.25">
      <c r="B530" s="28"/>
      <c r="C530" s="28"/>
      <c r="D530" s="28"/>
    </row>
    <row r="531" spans="2:4" ht="15.75" customHeight="1" x14ac:dyDescent="0.25">
      <c r="B531" s="28"/>
      <c r="C531" s="28"/>
      <c r="D531" s="28"/>
    </row>
    <row r="532" spans="2:4" ht="15.75" customHeight="1" x14ac:dyDescent="0.25">
      <c r="B532" s="28"/>
      <c r="C532" s="28"/>
      <c r="D532" s="28"/>
    </row>
    <row r="533" spans="2:4" ht="15.75" customHeight="1" x14ac:dyDescent="0.25">
      <c r="B533" s="28"/>
      <c r="C533" s="28"/>
      <c r="D533" s="28"/>
    </row>
    <row r="534" spans="2:4" ht="15.75" customHeight="1" x14ac:dyDescent="0.25">
      <c r="B534" s="28"/>
      <c r="C534" s="28"/>
      <c r="D534" s="28"/>
    </row>
    <row r="535" spans="2:4" ht="15.75" customHeight="1" x14ac:dyDescent="0.25">
      <c r="B535" s="28"/>
      <c r="C535" s="28"/>
      <c r="D535" s="28"/>
    </row>
    <row r="536" spans="2:4" ht="15.75" customHeight="1" x14ac:dyDescent="0.25">
      <c r="B536" s="28"/>
      <c r="C536" s="28"/>
      <c r="D536" s="28"/>
    </row>
    <row r="537" spans="2:4" ht="15.75" customHeight="1" x14ac:dyDescent="0.25">
      <c r="B537" s="28"/>
      <c r="C537" s="28"/>
      <c r="D537" s="28"/>
    </row>
    <row r="538" spans="2:4" ht="15.75" customHeight="1" x14ac:dyDescent="0.25">
      <c r="B538" s="28"/>
      <c r="C538" s="28"/>
      <c r="D538" s="28"/>
    </row>
    <row r="539" spans="2:4" ht="15.75" customHeight="1" x14ac:dyDescent="0.25">
      <c r="B539" s="28"/>
      <c r="C539" s="28"/>
      <c r="D539" s="28"/>
    </row>
    <row r="540" spans="2:4" ht="15.75" customHeight="1" x14ac:dyDescent="0.25">
      <c r="B540" s="28"/>
      <c r="C540" s="28"/>
      <c r="D540" s="28"/>
    </row>
    <row r="541" spans="2:4" ht="15.75" customHeight="1" x14ac:dyDescent="0.25">
      <c r="B541" s="28"/>
      <c r="C541" s="28"/>
      <c r="D541" s="28"/>
    </row>
    <row r="542" spans="2:4" ht="15.75" customHeight="1" x14ac:dyDescent="0.25">
      <c r="B542" s="28"/>
      <c r="C542" s="28"/>
      <c r="D542" s="28"/>
    </row>
    <row r="543" spans="2:4" ht="15.75" customHeight="1" x14ac:dyDescent="0.25">
      <c r="B543" s="28"/>
      <c r="C543" s="28"/>
      <c r="D543" s="28"/>
    </row>
    <row r="544" spans="2:4" ht="15.75" customHeight="1" x14ac:dyDescent="0.25">
      <c r="B544" s="28"/>
      <c r="C544" s="28"/>
      <c r="D544" s="28"/>
    </row>
    <row r="545" spans="2:4" ht="15.75" customHeight="1" x14ac:dyDescent="0.25">
      <c r="B545" s="28"/>
      <c r="C545" s="28"/>
      <c r="D545" s="28"/>
    </row>
    <row r="546" spans="2:4" ht="15.75" customHeight="1" x14ac:dyDescent="0.25">
      <c r="B546" s="28"/>
      <c r="C546" s="28"/>
      <c r="D546" s="28"/>
    </row>
    <row r="547" spans="2:4" ht="15.75" customHeight="1" x14ac:dyDescent="0.25">
      <c r="B547" s="28"/>
      <c r="C547" s="28"/>
      <c r="D547" s="28"/>
    </row>
    <row r="548" spans="2:4" ht="15.75" customHeight="1" x14ac:dyDescent="0.25">
      <c r="B548" s="28"/>
      <c r="C548" s="28"/>
      <c r="D548" s="28"/>
    </row>
    <row r="549" spans="2:4" ht="15.75" customHeight="1" x14ac:dyDescent="0.25">
      <c r="B549" s="28"/>
      <c r="C549" s="28"/>
      <c r="D549" s="28"/>
    </row>
    <row r="550" spans="2:4" ht="15.75" customHeight="1" x14ac:dyDescent="0.25">
      <c r="B550" s="28"/>
      <c r="C550" s="28"/>
      <c r="D550" s="28"/>
    </row>
    <row r="551" spans="2:4" ht="15.75" customHeight="1" x14ac:dyDescent="0.25">
      <c r="B551" s="28"/>
      <c r="C551" s="28"/>
      <c r="D551" s="28"/>
    </row>
    <row r="552" spans="2:4" ht="15.75" customHeight="1" x14ac:dyDescent="0.25">
      <c r="B552" s="28"/>
      <c r="C552" s="28"/>
      <c r="D552" s="28"/>
    </row>
    <row r="553" spans="2:4" ht="15.75" customHeight="1" x14ac:dyDescent="0.25">
      <c r="B553" s="28"/>
      <c r="C553" s="28"/>
      <c r="D553" s="28"/>
    </row>
    <row r="554" spans="2:4" ht="15.75" customHeight="1" x14ac:dyDescent="0.25">
      <c r="B554" s="28"/>
      <c r="C554" s="28"/>
      <c r="D554" s="28"/>
    </row>
    <row r="555" spans="2:4" ht="15.75" customHeight="1" x14ac:dyDescent="0.25">
      <c r="B555" s="28"/>
      <c r="C555" s="28"/>
      <c r="D555" s="28"/>
    </row>
    <row r="556" spans="2:4" ht="15.75" customHeight="1" x14ac:dyDescent="0.25">
      <c r="B556" s="28"/>
      <c r="C556" s="28"/>
      <c r="D556" s="28"/>
    </row>
    <row r="557" spans="2:4" ht="15.75" customHeight="1" x14ac:dyDescent="0.25">
      <c r="B557" s="28"/>
      <c r="C557" s="28"/>
      <c r="D557" s="28"/>
    </row>
    <row r="558" spans="2:4" ht="15.75" customHeight="1" x14ac:dyDescent="0.25">
      <c r="B558" s="28"/>
      <c r="C558" s="28"/>
      <c r="D558" s="28"/>
    </row>
    <row r="559" spans="2:4" ht="15.75" customHeight="1" x14ac:dyDescent="0.25">
      <c r="B559" s="28"/>
      <c r="C559" s="28"/>
      <c r="D559" s="28"/>
    </row>
    <row r="560" spans="2:4" ht="15.75" customHeight="1" x14ac:dyDescent="0.25">
      <c r="B560" s="28"/>
      <c r="C560" s="28"/>
      <c r="D560" s="28"/>
    </row>
    <row r="561" spans="2:4" ht="15.75" customHeight="1" x14ac:dyDescent="0.25">
      <c r="B561" s="28"/>
      <c r="C561" s="28"/>
      <c r="D561" s="28"/>
    </row>
    <row r="562" spans="2:4" ht="15.75" customHeight="1" x14ac:dyDescent="0.25">
      <c r="B562" s="28"/>
      <c r="C562" s="28"/>
      <c r="D562" s="28"/>
    </row>
    <row r="563" spans="2:4" ht="15.75" customHeight="1" x14ac:dyDescent="0.25">
      <c r="B563" s="28"/>
      <c r="C563" s="28"/>
      <c r="D563" s="28"/>
    </row>
    <row r="564" spans="2:4" ht="15.75" customHeight="1" x14ac:dyDescent="0.25">
      <c r="B564" s="28"/>
      <c r="C564" s="28"/>
      <c r="D564" s="28"/>
    </row>
    <row r="565" spans="2:4" ht="15.75" customHeight="1" x14ac:dyDescent="0.25">
      <c r="B565" s="28"/>
      <c r="C565" s="28"/>
      <c r="D565" s="28"/>
    </row>
    <row r="566" spans="2:4" ht="15.75" customHeight="1" x14ac:dyDescent="0.25">
      <c r="B566" s="28"/>
      <c r="C566" s="28"/>
      <c r="D566" s="28"/>
    </row>
    <row r="567" spans="2:4" ht="15.75" customHeight="1" x14ac:dyDescent="0.25">
      <c r="B567" s="28"/>
      <c r="C567" s="28"/>
      <c r="D567" s="28"/>
    </row>
    <row r="568" spans="2:4" ht="15.75" customHeight="1" x14ac:dyDescent="0.25">
      <c r="B568" s="28"/>
      <c r="C568" s="28"/>
      <c r="D568" s="28"/>
    </row>
    <row r="569" spans="2:4" ht="15.75" customHeight="1" x14ac:dyDescent="0.25">
      <c r="B569" s="28"/>
      <c r="C569" s="28"/>
      <c r="D569" s="28"/>
    </row>
    <row r="570" spans="2:4" ht="15.75" customHeight="1" x14ac:dyDescent="0.25">
      <c r="B570" s="28"/>
      <c r="C570" s="28"/>
      <c r="D570" s="28"/>
    </row>
    <row r="571" spans="2:4" ht="15.75" customHeight="1" x14ac:dyDescent="0.25">
      <c r="B571" s="28"/>
      <c r="C571" s="28"/>
      <c r="D571" s="28"/>
    </row>
    <row r="572" spans="2:4" ht="15.75" customHeight="1" x14ac:dyDescent="0.25">
      <c r="B572" s="28"/>
      <c r="C572" s="28"/>
      <c r="D572" s="28"/>
    </row>
    <row r="573" spans="2:4" ht="15.75" customHeight="1" x14ac:dyDescent="0.25">
      <c r="B573" s="28"/>
      <c r="C573" s="28"/>
      <c r="D573" s="28"/>
    </row>
    <row r="574" spans="2:4" ht="15.75" customHeight="1" x14ac:dyDescent="0.25">
      <c r="B574" s="28"/>
      <c r="C574" s="28"/>
      <c r="D574" s="28"/>
    </row>
    <row r="575" spans="2:4" ht="15.75" customHeight="1" x14ac:dyDescent="0.25">
      <c r="B575" s="28"/>
      <c r="C575" s="28"/>
      <c r="D575" s="28"/>
    </row>
    <row r="576" spans="2:4" ht="15.75" customHeight="1" x14ac:dyDescent="0.25">
      <c r="B576" s="28"/>
      <c r="C576" s="28"/>
      <c r="D576" s="28"/>
    </row>
    <row r="577" spans="2:4" ht="15.75" customHeight="1" x14ac:dyDescent="0.25">
      <c r="B577" s="28"/>
      <c r="C577" s="28"/>
      <c r="D577" s="28"/>
    </row>
    <row r="578" spans="2:4" ht="15.75" customHeight="1" x14ac:dyDescent="0.25">
      <c r="B578" s="28"/>
      <c r="C578" s="28"/>
      <c r="D578" s="28"/>
    </row>
    <row r="579" spans="2:4" ht="15.75" customHeight="1" x14ac:dyDescent="0.25">
      <c r="B579" s="28"/>
      <c r="C579" s="28"/>
      <c r="D579" s="28"/>
    </row>
    <row r="580" spans="2:4" ht="15.75" customHeight="1" x14ac:dyDescent="0.25">
      <c r="B580" s="28"/>
      <c r="C580" s="28"/>
      <c r="D580" s="28"/>
    </row>
    <row r="581" spans="2:4" ht="15.75" customHeight="1" x14ac:dyDescent="0.25">
      <c r="B581" s="28"/>
      <c r="C581" s="28"/>
      <c r="D581" s="28"/>
    </row>
    <row r="582" spans="2:4" ht="15.75" customHeight="1" x14ac:dyDescent="0.25">
      <c r="B582" s="28"/>
      <c r="C582" s="28"/>
      <c r="D582" s="28"/>
    </row>
    <row r="583" spans="2:4" ht="15.75" customHeight="1" x14ac:dyDescent="0.25">
      <c r="B583" s="28"/>
      <c r="C583" s="28"/>
      <c r="D583" s="28"/>
    </row>
    <row r="584" spans="2:4" ht="15.75" customHeight="1" x14ac:dyDescent="0.25">
      <c r="B584" s="28"/>
      <c r="C584" s="28"/>
      <c r="D584" s="28"/>
    </row>
    <row r="585" spans="2:4" ht="15.75" customHeight="1" x14ac:dyDescent="0.25">
      <c r="B585" s="28"/>
      <c r="C585" s="28"/>
      <c r="D585" s="28"/>
    </row>
    <row r="586" spans="2:4" ht="15.75" customHeight="1" x14ac:dyDescent="0.25">
      <c r="B586" s="28"/>
      <c r="C586" s="28"/>
      <c r="D586" s="28"/>
    </row>
    <row r="587" spans="2:4" ht="15.75" customHeight="1" x14ac:dyDescent="0.25">
      <c r="B587" s="28"/>
      <c r="C587" s="28"/>
      <c r="D587" s="28"/>
    </row>
    <row r="588" spans="2:4" ht="15.75" customHeight="1" x14ac:dyDescent="0.25">
      <c r="B588" s="28"/>
      <c r="C588" s="28"/>
      <c r="D588" s="28"/>
    </row>
    <row r="589" spans="2:4" ht="15.75" customHeight="1" x14ac:dyDescent="0.25">
      <c r="B589" s="28"/>
      <c r="C589" s="28"/>
      <c r="D589" s="28"/>
    </row>
    <row r="590" spans="2:4" ht="15.75" customHeight="1" x14ac:dyDescent="0.25">
      <c r="B590" s="28"/>
      <c r="C590" s="28"/>
      <c r="D590" s="28"/>
    </row>
    <row r="591" spans="2:4" ht="15.75" customHeight="1" x14ac:dyDescent="0.25">
      <c r="B591" s="28"/>
      <c r="C591" s="28"/>
      <c r="D591" s="28"/>
    </row>
    <row r="592" spans="2:4" ht="15.75" customHeight="1" x14ac:dyDescent="0.25">
      <c r="B592" s="28"/>
      <c r="C592" s="28"/>
      <c r="D592" s="28"/>
    </row>
    <row r="593" spans="2:4" ht="15.75" customHeight="1" x14ac:dyDescent="0.25">
      <c r="B593" s="28"/>
      <c r="C593" s="28"/>
      <c r="D593" s="28"/>
    </row>
    <row r="594" spans="2:4" ht="15.75" customHeight="1" x14ac:dyDescent="0.25">
      <c r="B594" s="28"/>
      <c r="C594" s="28"/>
      <c r="D594" s="28"/>
    </row>
    <row r="595" spans="2:4" ht="15.75" customHeight="1" x14ac:dyDescent="0.25">
      <c r="B595" s="28"/>
      <c r="C595" s="28"/>
      <c r="D595" s="28"/>
    </row>
    <row r="596" spans="2:4" ht="15.75" customHeight="1" x14ac:dyDescent="0.25">
      <c r="B596" s="28"/>
      <c r="C596" s="28"/>
      <c r="D596" s="28"/>
    </row>
    <row r="597" spans="2:4" ht="15.75" customHeight="1" x14ac:dyDescent="0.25">
      <c r="B597" s="28"/>
      <c r="C597" s="28"/>
      <c r="D597" s="28"/>
    </row>
    <row r="598" spans="2:4" ht="15.75" customHeight="1" x14ac:dyDescent="0.25">
      <c r="B598" s="28"/>
      <c r="C598" s="28"/>
      <c r="D598" s="28"/>
    </row>
    <row r="599" spans="2:4" ht="15.75" customHeight="1" x14ac:dyDescent="0.25">
      <c r="B599" s="28"/>
      <c r="C599" s="28"/>
      <c r="D599" s="28"/>
    </row>
    <row r="600" spans="2:4" ht="15.75" customHeight="1" x14ac:dyDescent="0.25">
      <c r="B600" s="28"/>
      <c r="C600" s="28"/>
      <c r="D600" s="28"/>
    </row>
    <row r="601" spans="2:4" ht="15.75" customHeight="1" x14ac:dyDescent="0.25">
      <c r="B601" s="28"/>
      <c r="C601" s="28"/>
      <c r="D601" s="28"/>
    </row>
    <row r="602" spans="2:4" ht="15.75" customHeight="1" x14ac:dyDescent="0.25">
      <c r="B602" s="28"/>
      <c r="C602" s="28"/>
      <c r="D602" s="28"/>
    </row>
    <row r="603" spans="2:4" ht="15.75" customHeight="1" x14ac:dyDescent="0.25">
      <c r="B603" s="28"/>
      <c r="C603" s="28"/>
      <c r="D603" s="28"/>
    </row>
    <row r="604" spans="2:4" ht="15.75" customHeight="1" x14ac:dyDescent="0.25">
      <c r="B604" s="28"/>
      <c r="C604" s="28"/>
      <c r="D604" s="28"/>
    </row>
    <row r="605" spans="2:4" ht="15.75" customHeight="1" x14ac:dyDescent="0.25">
      <c r="B605" s="28"/>
      <c r="C605" s="28"/>
      <c r="D605" s="28"/>
    </row>
    <row r="606" spans="2:4" ht="15.75" customHeight="1" x14ac:dyDescent="0.25">
      <c r="B606" s="28"/>
      <c r="C606" s="28"/>
      <c r="D606" s="28"/>
    </row>
    <row r="607" spans="2:4" ht="15.75" customHeight="1" x14ac:dyDescent="0.25">
      <c r="B607" s="28"/>
      <c r="C607" s="28"/>
      <c r="D607" s="28"/>
    </row>
    <row r="608" spans="2:4" ht="15.75" customHeight="1" x14ac:dyDescent="0.25">
      <c r="B608" s="28"/>
      <c r="C608" s="28"/>
      <c r="D608" s="28"/>
    </row>
    <row r="609" spans="2:4" ht="15.75" customHeight="1" x14ac:dyDescent="0.25">
      <c r="B609" s="28"/>
      <c r="C609" s="28"/>
      <c r="D609" s="28"/>
    </row>
    <row r="610" spans="2:4" ht="15.75" customHeight="1" x14ac:dyDescent="0.25">
      <c r="B610" s="28"/>
      <c r="C610" s="28"/>
      <c r="D610" s="28"/>
    </row>
    <row r="611" spans="2:4" ht="15.75" customHeight="1" x14ac:dyDescent="0.25">
      <c r="B611" s="28"/>
      <c r="C611" s="28"/>
      <c r="D611" s="28"/>
    </row>
    <row r="612" spans="2:4" ht="15.75" customHeight="1" x14ac:dyDescent="0.25">
      <c r="B612" s="28"/>
      <c r="C612" s="28"/>
      <c r="D612" s="28"/>
    </row>
    <row r="613" spans="2:4" ht="15.75" customHeight="1" x14ac:dyDescent="0.25">
      <c r="B613" s="28"/>
      <c r="C613" s="28"/>
      <c r="D613" s="28"/>
    </row>
    <row r="614" spans="2:4" ht="15.75" customHeight="1" x14ac:dyDescent="0.25">
      <c r="B614" s="28"/>
      <c r="C614" s="28"/>
      <c r="D614" s="28"/>
    </row>
    <row r="615" spans="2:4" ht="15.75" customHeight="1" x14ac:dyDescent="0.25">
      <c r="B615" s="28"/>
      <c r="C615" s="28"/>
      <c r="D615" s="28"/>
    </row>
    <row r="616" spans="2:4" ht="15.75" customHeight="1" x14ac:dyDescent="0.25">
      <c r="B616" s="28"/>
      <c r="C616" s="28"/>
      <c r="D616" s="28"/>
    </row>
    <row r="617" spans="2:4" ht="15.75" customHeight="1" x14ac:dyDescent="0.25">
      <c r="B617" s="28"/>
      <c r="C617" s="28"/>
      <c r="D617" s="28"/>
    </row>
    <row r="618" spans="2:4" ht="15.75" customHeight="1" x14ac:dyDescent="0.25">
      <c r="B618" s="28"/>
      <c r="C618" s="28"/>
      <c r="D618" s="28"/>
    </row>
    <row r="619" spans="2:4" ht="15.75" customHeight="1" x14ac:dyDescent="0.25">
      <c r="B619" s="28"/>
      <c r="C619" s="28"/>
      <c r="D619" s="28"/>
    </row>
    <row r="620" spans="2:4" ht="15.75" customHeight="1" x14ac:dyDescent="0.25">
      <c r="B620" s="28"/>
      <c r="C620" s="28"/>
      <c r="D620" s="28"/>
    </row>
    <row r="621" spans="2:4" ht="15.75" customHeight="1" x14ac:dyDescent="0.25">
      <c r="B621" s="28"/>
      <c r="C621" s="28"/>
      <c r="D621" s="28"/>
    </row>
    <row r="622" spans="2:4" ht="15.75" customHeight="1" x14ac:dyDescent="0.25">
      <c r="B622" s="28"/>
      <c r="C622" s="28"/>
      <c r="D622" s="28"/>
    </row>
    <row r="623" spans="2:4" ht="15.75" customHeight="1" x14ac:dyDescent="0.25">
      <c r="B623" s="28"/>
      <c r="C623" s="28"/>
      <c r="D623" s="28"/>
    </row>
    <row r="624" spans="2:4" ht="15.75" customHeight="1" x14ac:dyDescent="0.25">
      <c r="B624" s="28"/>
      <c r="C624" s="28"/>
      <c r="D624" s="28"/>
    </row>
    <row r="625" spans="2:4" ht="15.75" customHeight="1" x14ac:dyDescent="0.25">
      <c r="B625" s="28"/>
      <c r="C625" s="28"/>
      <c r="D625" s="28"/>
    </row>
    <row r="626" spans="2:4" ht="15.75" customHeight="1" x14ac:dyDescent="0.25">
      <c r="B626" s="28"/>
      <c r="C626" s="28"/>
      <c r="D626" s="28"/>
    </row>
    <row r="627" spans="2:4" ht="15.75" customHeight="1" x14ac:dyDescent="0.25">
      <c r="B627" s="28"/>
      <c r="C627" s="28"/>
      <c r="D627" s="28"/>
    </row>
    <row r="628" spans="2:4" ht="15.75" customHeight="1" x14ac:dyDescent="0.25">
      <c r="B628" s="28"/>
      <c r="C628" s="28"/>
      <c r="D628" s="28"/>
    </row>
    <row r="629" spans="2:4" ht="15.75" customHeight="1" x14ac:dyDescent="0.25">
      <c r="B629" s="28"/>
      <c r="C629" s="28"/>
      <c r="D629" s="28"/>
    </row>
    <row r="630" spans="2:4" ht="15.75" customHeight="1" x14ac:dyDescent="0.25">
      <c r="B630" s="28"/>
      <c r="C630" s="28"/>
      <c r="D630" s="28"/>
    </row>
    <row r="631" spans="2:4" ht="15.75" customHeight="1" x14ac:dyDescent="0.25">
      <c r="B631" s="28"/>
      <c r="C631" s="28"/>
      <c r="D631" s="28"/>
    </row>
    <row r="632" spans="2:4" ht="15.75" customHeight="1" x14ac:dyDescent="0.25">
      <c r="B632" s="28"/>
      <c r="C632" s="28"/>
      <c r="D632" s="28"/>
    </row>
    <row r="633" spans="2:4" ht="15.75" customHeight="1" x14ac:dyDescent="0.25">
      <c r="B633" s="28"/>
      <c r="C633" s="28"/>
      <c r="D633" s="28"/>
    </row>
    <row r="634" spans="2:4" ht="15.75" customHeight="1" x14ac:dyDescent="0.25">
      <c r="B634" s="28"/>
      <c r="C634" s="28"/>
      <c r="D634" s="28"/>
    </row>
    <row r="635" spans="2:4" ht="15.75" customHeight="1" x14ac:dyDescent="0.25">
      <c r="B635" s="28"/>
      <c r="C635" s="28"/>
      <c r="D635" s="28"/>
    </row>
    <row r="636" spans="2:4" ht="15.75" customHeight="1" x14ac:dyDescent="0.25">
      <c r="B636" s="28"/>
      <c r="C636" s="28"/>
      <c r="D636" s="28"/>
    </row>
    <row r="637" spans="2:4" ht="15.75" customHeight="1" x14ac:dyDescent="0.25">
      <c r="B637" s="28"/>
      <c r="C637" s="28"/>
      <c r="D637" s="28"/>
    </row>
    <row r="638" spans="2:4" ht="15.75" customHeight="1" x14ac:dyDescent="0.25">
      <c r="B638" s="28"/>
      <c r="C638" s="28"/>
      <c r="D638" s="28"/>
    </row>
    <row r="639" spans="2:4" ht="15.75" customHeight="1" x14ac:dyDescent="0.25">
      <c r="B639" s="28"/>
      <c r="C639" s="28"/>
      <c r="D639" s="28"/>
    </row>
    <row r="640" spans="2:4" ht="15.75" customHeight="1" x14ac:dyDescent="0.25">
      <c r="B640" s="28"/>
      <c r="C640" s="28"/>
      <c r="D640" s="28"/>
    </row>
    <row r="641" spans="2:4" ht="15.75" customHeight="1" x14ac:dyDescent="0.25">
      <c r="B641" s="28"/>
      <c r="C641" s="28"/>
      <c r="D641" s="28"/>
    </row>
    <row r="642" spans="2:4" ht="15.75" customHeight="1" x14ac:dyDescent="0.25">
      <c r="B642" s="28"/>
      <c r="C642" s="28"/>
      <c r="D642" s="28"/>
    </row>
    <row r="643" spans="2:4" ht="15.75" customHeight="1" x14ac:dyDescent="0.25">
      <c r="B643" s="28"/>
      <c r="C643" s="28"/>
      <c r="D643" s="28"/>
    </row>
    <row r="644" spans="2:4" ht="15.75" customHeight="1" x14ac:dyDescent="0.25">
      <c r="B644" s="28"/>
      <c r="C644" s="28"/>
      <c r="D644" s="28"/>
    </row>
    <row r="645" spans="2:4" ht="15.75" customHeight="1" x14ac:dyDescent="0.25">
      <c r="B645" s="28"/>
      <c r="C645" s="28"/>
      <c r="D645" s="28"/>
    </row>
    <row r="646" spans="2:4" ht="15.75" customHeight="1" x14ac:dyDescent="0.25">
      <c r="B646" s="28"/>
      <c r="C646" s="28"/>
      <c r="D646" s="28"/>
    </row>
    <row r="647" spans="2:4" ht="15.75" customHeight="1" x14ac:dyDescent="0.25">
      <c r="B647" s="28"/>
      <c r="C647" s="28"/>
      <c r="D647" s="28"/>
    </row>
    <row r="648" spans="2:4" ht="15.75" customHeight="1" x14ac:dyDescent="0.25">
      <c r="B648" s="28"/>
      <c r="C648" s="28"/>
      <c r="D648" s="28"/>
    </row>
    <row r="649" spans="2:4" ht="15.75" customHeight="1" x14ac:dyDescent="0.25">
      <c r="B649" s="28"/>
      <c r="C649" s="28"/>
      <c r="D649" s="28"/>
    </row>
    <row r="650" spans="2:4" ht="15.75" customHeight="1" x14ac:dyDescent="0.25">
      <c r="B650" s="28"/>
      <c r="C650" s="28"/>
      <c r="D650" s="28"/>
    </row>
    <row r="651" spans="2:4" ht="15.75" customHeight="1" x14ac:dyDescent="0.25">
      <c r="B651" s="28"/>
      <c r="C651" s="28"/>
      <c r="D651" s="28"/>
    </row>
    <row r="652" spans="2:4" ht="15.75" customHeight="1" x14ac:dyDescent="0.25">
      <c r="B652" s="28"/>
      <c r="C652" s="28"/>
      <c r="D652" s="28"/>
    </row>
    <row r="653" spans="2:4" ht="15.75" customHeight="1" x14ac:dyDescent="0.25">
      <c r="B653" s="28"/>
      <c r="C653" s="28"/>
      <c r="D653" s="28"/>
    </row>
    <row r="654" spans="2:4" ht="15.75" customHeight="1" x14ac:dyDescent="0.25">
      <c r="B654" s="28"/>
      <c r="C654" s="28"/>
      <c r="D654" s="28"/>
    </row>
    <row r="655" spans="2:4" ht="15.75" customHeight="1" x14ac:dyDescent="0.25">
      <c r="B655" s="28"/>
      <c r="C655" s="28"/>
      <c r="D655" s="28"/>
    </row>
    <row r="656" spans="2:4" ht="15.75" customHeight="1" x14ac:dyDescent="0.25">
      <c r="B656" s="28"/>
      <c r="C656" s="28"/>
      <c r="D656" s="28"/>
    </row>
    <row r="657" spans="2:4" ht="15.75" customHeight="1" x14ac:dyDescent="0.25">
      <c r="B657" s="28"/>
      <c r="C657" s="28"/>
      <c r="D657" s="28"/>
    </row>
    <row r="658" spans="2:4" ht="15.75" customHeight="1" x14ac:dyDescent="0.25">
      <c r="B658" s="28"/>
      <c r="C658" s="28"/>
      <c r="D658" s="28"/>
    </row>
    <row r="659" spans="2:4" ht="15.75" customHeight="1" x14ac:dyDescent="0.25">
      <c r="B659" s="28"/>
      <c r="C659" s="28"/>
      <c r="D659" s="28"/>
    </row>
    <row r="660" spans="2:4" ht="15.75" customHeight="1" x14ac:dyDescent="0.25">
      <c r="B660" s="28"/>
      <c r="C660" s="28"/>
      <c r="D660" s="28"/>
    </row>
    <row r="661" spans="2:4" ht="15.75" customHeight="1" x14ac:dyDescent="0.25">
      <c r="B661" s="28"/>
      <c r="C661" s="28"/>
      <c r="D661" s="28"/>
    </row>
    <row r="662" spans="2:4" ht="15.75" customHeight="1" x14ac:dyDescent="0.25">
      <c r="B662" s="28"/>
      <c r="C662" s="28"/>
      <c r="D662" s="28"/>
    </row>
    <row r="663" spans="2:4" ht="15.75" customHeight="1" x14ac:dyDescent="0.25">
      <c r="B663" s="28"/>
      <c r="C663" s="28"/>
      <c r="D663" s="28"/>
    </row>
    <row r="664" spans="2:4" ht="15.75" customHeight="1" x14ac:dyDescent="0.25">
      <c r="B664" s="28"/>
      <c r="C664" s="28"/>
      <c r="D664" s="28"/>
    </row>
    <row r="665" spans="2:4" ht="15.75" customHeight="1" x14ac:dyDescent="0.25">
      <c r="B665" s="28"/>
      <c r="C665" s="28"/>
      <c r="D665" s="28"/>
    </row>
    <row r="666" spans="2:4" ht="15.75" customHeight="1" x14ac:dyDescent="0.25">
      <c r="B666" s="28"/>
      <c r="C666" s="28"/>
      <c r="D666" s="28"/>
    </row>
    <row r="667" spans="2:4" ht="15.75" customHeight="1" x14ac:dyDescent="0.25">
      <c r="B667" s="28"/>
      <c r="C667" s="28"/>
      <c r="D667" s="28"/>
    </row>
    <row r="668" spans="2:4" ht="15.75" customHeight="1" x14ac:dyDescent="0.25">
      <c r="B668" s="28"/>
      <c r="C668" s="28"/>
      <c r="D668" s="28"/>
    </row>
    <row r="669" spans="2:4" ht="15.75" customHeight="1" x14ac:dyDescent="0.25">
      <c r="B669" s="28"/>
      <c r="C669" s="28"/>
      <c r="D669" s="28"/>
    </row>
    <row r="670" spans="2:4" ht="15.75" customHeight="1" x14ac:dyDescent="0.25">
      <c r="B670" s="28"/>
      <c r="C670" s="28"/>
      <c r="D670" s="28"/>
    </row>
    <row r="671" spans="2:4" ht="15.75" customHeight="1" x14ac:dyDescent="0.25">
      <c r="B671" s="28"/>
      <c r="C671" s="28"/>
      <c r="D671" s="28"/>
    </row>
    <row r="672" spans="2:4" ht="15.75" customHeight="1" x14ac:dyDescent="0.25">
      <c r="B672" s="28"/>
      <c r="C672" s="28"/>
      <c r="D672" s="28"/>
    </row>
    <row r="673" spans="2:4" ht="15.75" customHeight="1" x14ac:dyDescent="0.25">
      <c r="B673" s="28"/>
      <c r="C673" s="28"/>
      <c r="D673" s="28"/>
    </row>
    <row r="674" spans="2:4" ht="15.75" customHeight="1" x14ac:dyDescent="0.25">
      <c r="B674" s="28"/>
      <c r="C674" s="28"/>
      <c r="D674" s="28"/>
    </row>
    <row r="675" spans="2:4" ht="15.75" customHeight="1" x14ac:dyDescent="0.25">
      <c r="B675" s="28"/>
      <c r="C675" s="28"/>
      <c r="D675" s="28"/>
    </row>
    <row r="676" spans="2:4" ht="15.75" customHeight="1" x14ac:dyDescent="0.25">
      <c r="B676" s="28"/>
      <c r="C676" s="28"/>
      <c r="D676" s="28"/>
    </row>
    <row r="677" spans="2:4" ht="15.75" customHeight="1" x14ac:dyDescent="0.25">
      <c r="B677" s="28"/>
      <c r="C677" s="28"/>
      <c r="D677" s="28"/>
    </row>
    <row r="678" spans="2:4" ht="15.75" customHeight="1" x14ac:dyDescent="0.25">
      <c r="B678" s="28"/>
      <c r="C678" s="28"/>
      <c r="D678" s="28"/>
    </row>
    <row r="679" spans="2:4" ht="15.75" customHeight="1" x14ac:dyDescent="0.25">
      <c r="B679" s="28"/>
      <c r="C679" s="28"/>
      <c r="D679" s="28"/>
    </row>
    <row r="680" spans="2:4" ht="15.75" customHeight="1" x14ac:dyDescent="0.25">
      <c r="B680" s="28"/>
      <c r="C680" s="28"/>
      <c r="D680" s="28"/>
    </row>
    <row r="681" spans="2:4" ht="15.75" customHeight="1" x14ac:dyDescent="0.25">
      <c r="B681" s="28"/>
      <c r="C681" s="28"/>
      <c r="D681" s="28"/>
    </row>
    <row r="682" spans="2:4" ht="15.75" customHeight="1" x14ac:dyDescent="0.25">
      <c r="B682" s="28"/>
      <c r="C682" s="28"/>
      <c r="D682" s="28"/>
    </row>
    <row r="683" spans="2:4" ht="15.75" customHeight="1" x14ac:dyDescent="0.25">
      <c r="B683" s="28"/>
      <c r="C683" s="28"/>
      <c r="D683" s="28"/>
    </row>
    <row r="684" spans="2:4" ht="15.75" customHeight="1" x14ac:dyDescent="0.25">
      <c r="B684" s="28"/>
      <c r="C684" s="28"/>
      <c r="D684" s="28"/>
    </row>
    <row r="685" spans="2:4" ht="15.75" customHeight="1" x14ac:dyDescent="0.25">
      <c r="B685" s="28"/>
      <c r="C685" s="28"/>
      <c r="D685" s="28"/>
    </row>
    <row r="686" spans="2:4" ht="15.75" customHeight="1" x14ac:dyDescent="0.25">
      <c r="B686" s="28"/>
      <c r="C686" s="28"/>
      <c r="D686" s="28"/>
    </row>
    <row r="687" spans="2:4" ht="15.75" customHeight="1" x14ac:dyDescent="0.25">
      <c r="B687" s="28"/>
      <c r="C687" s="28"/>
      <c r="D687" s="28"/>
    </row>
    <row r="688" spans="2:4" ht="15.75" customHeight="1" x14ac:dyDescent="0.25">
      <c r="B688" s="28"/>
      <c r="C688" s="28"/>
      <c r="D688" s="28"/>
    </row>
    <row r="689" spans="2:4" ht="15.75" customHeight="1" x14ac:dyDescent="0.25">
      <c r="B689" s="28"/>
      <c r="C689" s="28"/>
      <c r="D689" s="28"/>
    </row>
    <row r="690" spans="2:4" ht="15.75" customHeight="1" x14ac:dyDescent="0.25">
      <c r="B690" s="28"/>
      <c r="C690" s="28"/>
      <c r="D690" s="28"/>
    </row>
    <row r="691" spans="2:4" ht="15.75" customHeight="1" x14ac:dyDescent="0.25">
      <c r="B691" s="28"/>
      <c r="C691" s="28"/>
      <c r="D691" s="28"/>
    </row>
    <row r="692" spans="2:4" ht="15.75" customHeight="1" x14ac:dyDescent="0.25">
      <c r="B692" s="28"/>
      <c r="C692" s="28"/>
      <c r="D692" s="28"/>
    </row>
    <row r="693" spans="2:4" ht="15.75" customHeight="1" x14ac:dyDescent="0.25">
      <c r="B693" s="28"/>
      <c r="C693" s="28"/>
      <c r="D693" s="28"/>
    </row>
    <row r="694" spans="2:4" ht="15.75" customHeight="1" x14ac:dyDescent="0.25">
      <c r="B694" s="28"/>
      <c r="C694" s="28"/>
      <c r="D694" s="28"/>
    </row>
    <row r="695" spans="2:4" ht="15.75" customHeight="1" x14ac:dyDescent="0.25">
      <c r="B695" s="28"/>
      <c r="C695" s="28"/>
      <c r="D695" s="28"/>
    </row>
    <row r="696" spans="2:4" ht="15.75" customHeight="1" x14ac:dyDescent="0.25">
      <c r="B696" s="28"/>
      <c r="C696" s="28"/>
      <c r="D696" s="28"/>
    </row>
    <row r="697" spans="2:4" ht="15.75" customHeight="1" x14ac:dyDescent="0.25">
      <c r="B697" s="28"/>
      <c r="C697" s="28"/>
      <c r="D697" s="28"/>
    </row>
    <row r="698" spans="2:4" ht="15.75" customHeight="1" x14ac:dyDescent="0.25">
      <c r="B698" s="28"/>
      <c r="C698" s="28"/>
      <c r="D698" s="28"/>
    </row>
    <row r="699" spans="2:4" ht="15.75" customHeight="1" x14ac:dyDescent="0.25">
      <c r="B699" s="28"/>
      <c r="C699" s="28"/>
      <c r="D699" s="28"/>
    </row>
    <row r="700" spans="2:4" ht="15.75" customHeight="1" x14ac:dyDescent="0.25">
      <c r="B700" s="28"/>
      <c r="C700" s="28"/>
      <c r="D700" s="28"/>
    </row>
    <row r="701" spans="2:4" ht="15.75" customHeight="1" x14ac:dyDescent="0.25">
      <c r="B701" s="28"/>
      <c r="C701" s="28"/>
      <c r="D701" s="28"/>
    </row>
    <row r="702" spans="2:4" ht="15.75" customHeight="1" x14ac:dyDescent="0.25">
      <c r="B702" s="28"/>
      <c r="C702" s="28"/>
      <c r="D702" s="28"/>
    </row>
    <row r="703" spans="2:4" ht="15.75" customHeight="1" x14ac:dyDescent="0.25">
      <c r="B703" s="28"/>
      <c r="C703" s="28"/>
      <c r="D703" s="28"/>
    </row>
    <row r="704" spans="2:4" ht="15.75" customHeight="1" x14ac:dyDescent="0.25">
      <c r="B704" s="28"/>
      <c r="C704" s="28"/>
      <c r="D704" s="28"/>
    </row>
    <row r="705" spans="2:4" ht="15.75" customHeight="1" x14ac:dyDescent="0.25">
      <c r="B705" s="28"/>
      <c r="C705" s="28"/>
      <c r="D705" s="28"/>
    </row>
    <row r="706" spans="2:4" ht="15.75" customHeight="1" x14ac:dyDescent="0.25">
      <c r="B706" s="28"/>
      <c r="C706" s="28"/>
      <c r="D706" s="28"/>
    </row>
    <row r="707" spans="2:4" ht="15.75" customHeight="1" x14ac:dyDescent="0.25">
      <c r="B707" s="28"/>
      <c r="C707" s="28"/>
      <c r="D707" s="28"/>
    </row>
    <row r="708" spans="2:4" ht="15.75" customHeight="1" x14ac:dyDescent="0.25">
      <c r="B708" s="28"/>
      <c r="C708" s="28"/>
      <c r="D708" s="28"/>
    </row>
    <row r="709" spans="2:4" ht="15.75" customHeight="1" x14ac:dyDescent="0.25">
      <c r="B709" s="28"/>
      <c r="C709" s="28"/>
      <c r="D709" s="28"/>
    </row>
    <row r="710" spans="2:4" ht="15.75" customHeight="1" x14ac:dyDescent="0.25">
      <c r="B710" s="28"/>
      <c r="C710" s="28"/>
      <c r="D710" s="28"/>
    </row>
    <row r="711" spans="2:4" ht="15.75" customHeight="1" x14ac:dyDescent="0.25">
      <c r="B711" s="28"/>
      <c r="C711" s="28"/>
      <c r="D711" s="28"/>
    </row>
    <row r="712" spans="2:4" ht="15.75" customHeight="1" x14ac:dyDescent="0.25">
      <c r="B712" s="28"/>
      <c r="C712" s="28"/>
      <c r="D712" s="28"/>
    </row>
    <row r="713" spans="2:4" ht="15.75" customHeight="1" x14ac:dyDescent="0.25">
      <c r="B713" s="28"/>
      <c r="C713" s="28"/>
      <c r="D713" s="28"/>
    </row>
    <row r="714" spans="2:4" ht="15.75" customHeight="1" x14ac:dyDescent="0.25">
      <c r="B714" s="28"/>
      <c r="C714" s="28"/>
      <c r="D714" s="28"/>
    </row>
    <row r="715" spans="2:4" ht="15.75" customHeight="1" x14ac:dyDescent="0.25">
      <c r="B715" s="28"/>
      <c r="C715" s="28"/>
      <c r="D715" s="28"/>
    </row>
    <row r="716" spans="2:4" ht="15.75" customHeight="1" x14ac:dyDescent="0.25">
      <c r="B716" s="28"/>
      <c r="C716" s="28"/>
      <c r="D716" s="28"/>
    </row>
    <row r="717" spans="2:4" ht="15.75" customHeight="1" x14ac:dyDescent="0.25">
      <c r="B717" s="28"/>
      <c r="C717" s="28"/>
      <c r="D717" s="28"/>
    </row>
    <row r="718" spans="2:4" ht="15.75" customHeight="1" x14ac:dyDescent="0.25">
      <c r="B718" s="28"/>
      <c r="C718" s="28"/>
      <c r="D718" s="28"/>
    </row>
    <row r="719" spans="2:4" ht="15.75" customHeight="1" x14ac:dyDescent="0.25">
      <c r="B719" s="28"/>
      <c r="C719" s="28"/>
      <c r="D719" s="28"/>
    </row>
    <row r="720" spans="2:4" ht="15.75" customHeight="1" x14ac:dyDescent="0.25">
      <c r="B720" s="28"/>
      <c r="C720" s="28"/>
      <c r="D720" s="28"/>
    </row>
    <row r="721" spans="2:4" ht="15.75" customHeight="1" x14ac:dyDescent="0.25">
      <c r="B721" s="28"/>
      <c r="C721" s="28"/>
      <c r="D721" s="28"/>
    </row>
    <row r="722" spans="2:4" ht="15.75" customHeight="1" x14ac:dyDescent="0.25">
      <c r="B722" s="28"/>
      <c r="C722" s="28"/>
      <c r="D722" s="28"/>
    </row>
    <row r="723" spans="2:4" ht="15.75" customHeight="1" x14ac:dyDescent="0.25">
      <c r="B723" s="28"/>
      <c r="C723" s="28"/>
      <c r="D723" s="28"/>
    </row>
    <row r="724" spans="2:4" ht="15.75" customHeight="1" x14ac:dyDescent="0.25">
      <c r="B724" s="28"/>
      <c r="C724" s="28"/>
      <c r="D724" s="28"/>
    </row>
    <row r="725" spans="2:4" ht="15.75" customHeight="1" x14ac:dyDescent="0.25">
      <c r="B725" s="28"/>
      <c r="C725" s="28"/>
      <c r="D725" s="28"/>
    </row>
    <row r="726" spans="2:4" ht="15.75" customHeight="1" x14ac:dyDescent="0.25">
      <c r="B726" s="28"/>
      <c r="C726" s="28"/>
      <c r="D726" s="28"/>
    </row>
    <row r="727" spans="2:4" ht="15.75" customHeight="1" x14ac:dyDescent="0.25">
      <c r="B727" s="28"/>
      <c r="C727" s="28"/>
      <c r="D727" s="28"/>
    </row>
    <row r="728" spans="2:4" ht="15.75" customHeight="1" x14ac:dyDescent="0.25">
      <c r="B728" s="28"/>
      <c r="C728" s="28"/>
      <c r="D728" s="28"/>
    </row>
    <row r="729" spans="2:4" ht="15.75" customHeight="1" x14ac:dyDescent="0.25">
      <c r="B729" s="28"/>
      <c r="C729" s="28"/>
      <c r="D729" s="28"/>
    </row>
    <row r="730" spans="2:4" ht="15.75" customHeight="1" x14ac:dyDescent="0.25">
      <c r="B730" s="28"/>
      <c r="C730" s="28"/>
      <c r="D730" s="28"/>
    </row>
    <row r="731" spans="2:4" ht="15.75" customHeight="1" x14ac:dyDescent="0.25">
      <c r="B731" s="28"/>
      <c r="C731" s="28"/>
      <c r="D731" s="28"/>
    </row>
    <row r="732" spans="2:4" ht="15.75" customHeight="1" x14ac:dyDescent="0.25">
      <c r="B732" s="28"/>
      <c r="C732" s="28"/>
      <c r="D732" s="28"/>
    </row>
    <row r="733" spans="2:4" ht="15.75" customHeight="1" x14ac:dyDescent="0.25">
      <c r="B733" s="28"/>
      <c r="C733" s="28"/>
      <c r="D733" s="28"/>
    </row>
    <row r="734" spans="2:4" ht="15.75" customHeight="1" x14ac:dyDescent="0.25">
      <c r="B734" s="28"/>
      <c r="C734" s="28"/>
      <c r="D734" s="28"/>
    </row>
    <row r="735" spans="2:4" ht="15.75" customHeight="1" x14ac:dyDescent="0.25">
      <c r="B735" s="28"/>
      <c r="C735" s="28"/>
      <c r="D735" s="28"/>
    </row>
    <row r="736" spans="2:4" ht="15.75" customHeight="1" x14ac:dyDescent="0.25">
      <c r="B736" s="28"/>
      <c r="C736" s="28"/>
      <c r="D736" s="28"/>
    </row>
    <row r="737" spans="2:4" ht="15.75" customHeight="1" x14ac:dyDescent="0.25">
      <c r="B737" s="28"/>
      <c r="C737" s="28"/>
      <c r="D737" s="28"/>
    </row>
    <row r="738" spans="2:4" ht="15.75" customHeight="1" x14ac:dyDescent="0.25">
      <c r="B738" s="28"/>
      <c r="C738" s="28"/>
      <c r="D738" s="28"/>
    </row>
    <row r="739" spans="2:4" ht="15.75" customHeight="1" x14ac:dyDescent="0.25">
      <c r="B739" s="28"/>
      <c r="C739" s="28"/>
      <c r="D739" s="28"/>
    </row>
    <row r="740" spans="2:4" ht="15.75" customHeight="1" x14ac:dyDescent="0.25">
      <c r="B740" s="28"/>
      <c r="C740" s="28"/>
      <c r="D740" s="28"/>
    </row>
    <row r="741" spans="2:4" ht="15.75" customHeight="1" x14ac:dyDescent="0.25">
      <c r="B741" s="28"/>
      <c r="C741" s="28"/>
      <c r="D741" s="28"/>
    </row>
    <row r="742" spans="2:4" ht="15.75" customHeight="1" x14ac:dyDescent="0.25">
      <c r="B742" s="28"/>
      <c r="C742" s="28"/>
      <c r="D742" s="28"/>
    </row>
    <row r="743" spans="2:4" ht="15.75" customHeight="1" x14ac:dyDescent="0.25">
      <c r="B743" s="28"/>
      <c r="C743" s="28"/>
      <c r="D743" s="28"/>
    </row>
    <row r="744" spans="2:4" ht="15.75" customHeight="1" x14ac:dyDescent="0.25">
      <c r="B744" s="28"/>
      <c r="C744" s="28"/>
      <c r="D744" s="28"/>
    </row>
    <row r="745" spans="2:4" ht="15.75" customHeight="1" x14ac:dyDescent="0.25">
      <c r="B745" s="28"/>
      <c r="C745" s="28"/>
      <c r="D745" s="28"/>
    </row>
    <row r="746" spans="2:4" ht="15.75" customHeight="1" x14ac:dyDescent="0.25">
      <c r="B746" s="28"/>
      <c r="C746" s="28"/>
      <c r="D746" s="28"/>
    </row>
    <row r="747" spans="2:4" ht="15.75" customHeight="1" x14ac:dyDescent="0.25">
      <c r="B747" s="28"/>
      <c r="C747" s="28"/>
      <c r="D747" s="28"/>
    </row>
    <row r="748" spans="2:4" ht="15.75" customHeight="1" x14ac:dyDescent="0.25">
      <c r="B748" s="28"/>
      <c r="C748" s="28"/>
      <c r="D748" s="28"/>
    </row>
    <row r="749" spans="2:4" ht="15.75" customHeight="1" x14ac:dyDescent="0.25">
      <c r="B749" s="28"/>
      <c r="C749" s="28"/>
      <c r="D749" s="28"/>
    </row>
    <row r="750" spans="2:4" ht="15.75" customHeight="1" x14ac:dyDescent="0.25">
      <c r="B750" s="28"/>
      <c r="C750" s="28"/>
      <c r="D750" s="28"/>
    </row>
    <row r="751" spans="2:4" ht="15.75" customHeight="1" x14ac:dyDescent="0.25">
      <c r="B751" s="28"/>
      <c r="C751" s="28"/>
      <c r="D751" s="28"/>
    </row>
    <row r="752" spans="2:4" ht="15.75" customHeight="1" x14ac:dyDescent="0.25">
      <c r="B752" s="28"/>
      <c r="C752" s="28"/>
      <c r="D752" s="28"/>
    </row>
    <row r="753" spans="2:4" ht="15.75" customHeight="1" x14ac:dyDescent="0.25">
      <c r="B753" s="28"/>
      <c r="C753" s="28"/>
      <c r="D753" s="28"/>
    </row>
    <row r="754" spans="2:4" ht="15.75" customHeight="1" x14ac:dyDescent="0.25">
      <c r="B754" s="28"/>
      <c r="C754" s="28"/>
      <c r="D754" s="28"/>
    </row>
    <row r="755" spans="2:4" ht="15.75" customHeight="1" x14ac:dyDescent="0.25">
      <c r="B755" s="28"/>
      <c r="C755" s="28"/>
      <c r="D755" s="28"/>
    </row>
    <row r="756" spans="2:4" ht="15.75" customHeight="1" x14ac:dyDescent="0.25">
      <c r="B756" s="28"/>
      <c r="C756" s="28"/>
      <c r="D756" s="28"/>
    </row>
    <row r="757" spans="2:4" ht="15.75" customHeight="1" x14ac:dyDescent="0.25">
      <c r="B757" s="28"/>
      <c r="C757" s="28"/>
      <c r="D757" s="28"/>
    </row>
    <row r="758" spans="2:4" ht="15.75" customHeight="1" x14ac:dyDescent="0.25">
      <c r="B758" s="28"/>
      <c r="C758" s="28"/>
      <c r="D758" s="28"/>
    </row>
    <row r="759" spans="2:4" ht="15.75" customHeight="1" x14ac:dyDescent="0.25">
      <c r="B759" s="28"/>
      <c r="C759" s="28"/>
      <c r="D759" s="28"/>
    </row>
    <row r="760" spans="2:4" ht="15.75" customHeight="1" x14ac:dyDescent="0.25">
      <c r="B760" s="28"/>
      <c r="C760" s="28"/>
      <c r="D760" s="28"/>
    </row>
    <row r="761" spans="2:4" ht="15.75" customHeight="1" x14ac:dyDescent="0.25">
      <c r="B761" s="28"/>
      <c r="C761" s="28"/>
      <c r="D761" s="28"/>
    </row>
    <row r="762" spans="2:4" ht="15.75" customHeight="1" x14ac:dyDescent="0.25">
      <c r="B762" s="28"/>
      <c r="C762" s="28"/>
      <c r="D762" s="28"/>
    </row>
    <row r="763" spans="2:4" ht="15.75" customHeight="1" x14ac:dyDescent="0.25">
      <c r="B763" s="28"/>
      <c r="C763" s="28"/>
      <c r="D763" s="28"/>
    </row>
    <row r="764" spans="2:4" ht="15.75" customHeight="1" x14ac:dyDescent="0.25">
      <c r="B764" s="28"/>
      <c r="C764" s="28"/>
      <c r="D764" s="28"/>
    </row>
    <row r="765" spans="2:4" ht="15.75" customHeight="1" x14ac:dyDescent="0.25">
      <c r="B765" s="28"/>
      <c r="C765" s="28"/>
      <c r="D765" s="28"/>
    </row>
    <row r="766" spans="2:4" ht="15.75" customHeight="1" x14ac:dyDescent="0.25">
      <c r="B766" s="28"/>
      <c r="C766" s="28"/>
      <c r="D766" s="28"/>
    </row>
    <row r="767" spans="2:4" ht="15.75" customHeight="1" x14ac:dyDescent="0.25">
      <c r="B767" s="28"/>
      <c r="C767" s="28"/>
      <c r="D767" s="28"/>
    </row>
    <row r="768" spans="2:4" ht="15.75" customHeight="1" x14ac:dyDescent="0.25">
      <c r="B768" s="28"/>
      <c r="C768" s="28"/>
      <c r="D768" s="28"/>
    </row>
    <row r="769" spans="2:4" ht="15.75" customHeight="1" x14ac:dyDescent="0.25">
      <c r="B769" s="28"/>
      <c r="C769" s="28"/>
      <c r="D769" s="28"/>
    </row>
    <row r="770" spans="2:4" ht="15.75" customHeight="1" x14ac:dyDescent="0.25">
      <c r="B770" s="28"/>
      <c r="C770" s="28"/>
      <c r="D770" s="28"/>
    </row>
    <row r="771" spans="2:4" ht="15.75" customHeight="1" x14ac:dyDescent="0.25">
      <c r="B771" s="28"/>
      <c r="C771" s="28"/>
      <c r="D771" s="28"/>
    </row>
    <row r="772" spans="2:4" ht="15.75" customHeight="1" x14ac:dyDescent="0.25">
      <c r="B772" s="28"/>
      <c r="C772" s="28"/>
      <c r="D772" s="28"/>
    </row>
    <row r="773" spans="2:4" ht="15.75" customHeight="1" x14ac:dyDescent="0.25">
      <c r="B773" s="28"/>
      <c r="C773" s="28"/>
      <c r="D773" s="28"/>
    </row>
    <row r="774" spans="2:4" ht="15.75" customHeight="1" x14ac:dyDescent="0.25">
      <c r="B774" s="28"/>
      <c r="C774" s="28"/>
      <c r="D774" s="28"/>
    </row>
    <row r="775" spans="2:4" ht="15.75" customHeight="1" x14ac:dyDescent="0.25">
      <c r="B775" s="28"/>
      <c r="C775" s="28"/>
      <c r="D775" s="28"/>
    </row>
    <row r="776" spans="2:4" ht="15.75" customHeight="1" x14ac:dyDescent="0.25">
      <c r="B776" s="28"/>
      <c r="C776" s="28"/>
      <c r="D776" s="28"/>
    </row>
    <row r="777" spans="2:4" ht="15.75" customHeight="1" x14ac:dyDescent="0.25">
      <c r="B777" s="28"/>
      <c r="C777" s="28"/>
      <c r="D777" s="28"/>
    </row>
    <row r="778" spans="2:4" ht="15.75" customHeight="1" x14ac:dyDescent="0.25">
      <c r="B778" s="28"/>
      <c r="C778" s="28"/>
      <c r="D778" s="28"/>
    </row>
    <row r="779" spans="2:4" ht="15.75" customHeight="1" x14ac:dyDescent="0.25">
      <c r="B779" s="28"/>
      <c r="C779" s="28"/>
      <c r="D779" s="28"/>
    </row>
    <row r="780" spans="2:4" ht="15.75" customHeight="1" x14ac:dyDescent="0.25">
      <c r="B780" s="28"/>
      <c r="C780" s="28"/>
      <c r="D780" s="28"/>
    </row>
    <row r="781" spans="2:4" ht="15.75" customHeight="1" x14ac:dyDescent="0.25">
      <c r="B781" s="28"/>
      <c r="C781" s="28"/>
      <c r="D781" s="28"/>
    </row>
    <row r="782" spans="2:4" ht="15.75" customHeight="1" x14ac:dyDescent="0.25">
      <c r="B782" s="28"/>
      <c r="C782" s="28"/>
      <c r="D782" s="28"/>
    </row>
    <row r="783" spans="2:4" ht="15.75" customHeight="1" x14ac:dyDescent="0.25">
      <c r="B783" s="28"/>
      <c r="C783" s="28"/>
      <c r="D783" s="28"/>
    </row>
    <row r="784" spans="2:4" ht="15.75" customHeight="1" x14ac:dyDescent="0.25">
      <c r="B784" s="28"/>
      <c r="C784" s="28"/>
      <c r="D784" s="28"/>
    </row>
    <row r="785" spans="2:4" ht="15.75" customHeight="1" x14ac:dyDescent="0.25">
      <c r="B785" s="28"/>
      <c r="C785" s="28"/>
      <c r="D785" s="28"/>
    </row>
    <row r="786" spans="2:4" ht="15.75" customHeight="1" x14ac:dyDescent="0.25">
      <c r="B786" s="28"/>
      <c r="C786" s="28"/>
      <c r="D786" s="28"/>
    </row>
    <row r="787" spans="2:4" ht="15.75" customHeight="1" x14ac:dyDescent="0.25">
      <c r="B787" s="28"/>
      <c r="C787" s="28"/>
      <c r="D787" s="28"/>
    </row>
    <row r="788" spans="2:4" ht="15.75" customHeight="1" x14ac:dyDescent="0.25">
      <c r="B788" s="28"/>
      <c r="C788" s="28"/>
      <c r="D788" s="28"/>
    </row>
    <row r="789" spans="2:4" ht="15.75" customHeight="1" x14ac:dyDescent="0.25">
      <c r="B789" s="28"/>
      <c r="C789" s="28"/>
      <c r="D789" s="28"/>
    </row>
    <row r="790" spans="2:4" ht="15.75" customHeight="1" x14ac:dyDescent="0.25">
      <c r="B790" s="28"/>
      <c r="C790" s="28"/>
      <c r="D790" s="28"/>
    </row>
    <row r="791" spans="2:4" ht="15.75" customHeight="1" x14ac:dyDescent="0.25">
      <c r="B791" s="28"/>
      <c r="C791" s="28"/>
      <c r="D791" s="28"/>
    </row>
    <row r="792" spans="2:4" ht="15.75" customHeight="1" x14ac:dyDescent="0.25">
      <c r="B792" s="28"/>
      <c r="C792" s="28"/>
      <c r="D792" s="28"/>
    </row>
    <row r="793" spans="2:4" ht="15.75" customHeight="1" x14ac:dyDescent="0.25">
      <c r="B793" s="28"/>
      <c r="C793" s="28"/>
      <c r="D793" s="28"/>
    </row>
    <row r="794" spans="2:4" ht="15.75" customHeight="1" x14ac:dyDescent="0.25">
      <c r="B794" s="28"/>
      <c r="C794" s="28"/>
      <c r="D794" s="28"/>
    </row>
    <row r="795" spans="2:4" ht="15.75" customHeight="1" x14ac:dyDescent="0.25">
      <c r="B795" s="28"/>
      <c r="C795" s="28"/>
      <c r="D795" s="28"/>
    </row>
    <row r="796" spans="2:4" ht="15.75" customHeight="1" x14ac:dyDescent="0.25">
      <c r="B796" s="28"/>
      <c r="C796" s="28"/>
      <c r="D796" s="28"/>
    </row>
    <row r="797" spans="2:4" ht="15.75" customHeight="1" x14ac:dyDescent="0.25">
      <c r="B797" s="28"/>
      <c r="C797" s="28"/>
      <c r="D797" s="28"/>
    </row>
    <row r="798" spans="2:4" ht="15.75" customHeight="1" x14ac:dyDescent="0.25">
      <c r="B798" s="28"/>
      <c r="C798" s="28"/>
      <c r="D798" s="28"/>
    </row>
    <row r="799" spans="2:4" ht="15.75" customHeight="1" x14ac:dyDescent="0.25">
      <c r="B799" s="28"/>
      <c r="C799" s="28"/>
      <c r="D799" s="28"/>
    </row>
    <row r="800" spans="2:4" ht="15.75" customHeight="1" x14ac:dyDescent="0.25">
      <c r="B800" s="28"/>
      <c r="C800" s="28"/>
      <c r="D800" s="28"/>
    </row>
    <row r="801" spans="2:4" ht="15.75" customHeight="1" x14ac:dyDescent="0.25">
      <c r="B801" s="28"/>
      <c r="C801" s="28"/>
      <c r="D801" s="28"/>
    </row>
    <row r="802" spans="2:4" ht="15.75" customHeight="1" x14ac:dyDescent="0.25">
      <c r="B802" s="28"/>
      <c r="C802" s="28"/>
      <c r="D802" s="28"/>
    </row>
    <row r="803" spans="2:4" ht="15.75" customHeight="1" x14ac:dyDescent="0.25">
      <c r="B803" s="28"/>
      <c r="C803" s="28"/>
      <c r="D803" s="28"/>
    </row>
    <row r="804" spans="2:4" ht="15.75" customHeight="1" x14ac:dyDescent="0.25">
      <c r="B804" s="28"/>
      <c r="C804" s="28"/>
      <c r="D804" s="28"/>
    </row>
    <row r="805" spans="2:4" ht="15.75" customHeight="1" x14ac:dyDescent="0.25">
      <c r="B805" s="28"/>
      <c r="C805" s="28"/>
      <c r="D805" s="28"/>
    </row>
    <row r="806" spans="2:4" ht="15.75" customHeight="1" x14ac:dyDescent="0.25">
      <c r="B806" s="28"/>
      <c r="C806" s="28"/>
      <c r="D806" s="28"/>
    </row>
    <row r="807" spans="2:4" ht="15.75" customHeight="1" x14ac:dyDescent="0.25">
      <c r="B807" s="28"/>
      <c r="C807" s="28"/>
      <c r="D807" s="28"/>
    </row>
    <row r="808" spans="2:4" ht="15.75" customHeight="1" x14ac:dyDescent="0.25">
      <c r="B808" s="28"/>
      <c r="C808" s="28"/>
      <c r="D808" s="28"/>
    </row>
    <row r="809" spans="2:4" ht="15.75" customHeight="1" x14ac:dyDescent="0.25">
      <c r="B809" s="28"/>
      <c r="C809" s="28"/>
      <c r="D809" s="28"/>
    </row>
    <row r="810" spans="2:4" ht="15.75" customHeight="1" x14ac:dyDescent="0.25">
      <c r="B810" s="28"/>
      <c r="C810" s="28"/>
      <c r="D810" s="28"/>
    </row>
    <row r="811" spans="2:4" ht="15.75" customHeight="1" x14ac:dyDescent="0.25">
      <c r="B811" s="28"/>
      <c r="C811" s="28"/>
      <c r="D811" s="28"/>
    </row>
    <row r="812" spans="2:4" ht="15.75" customHeight="1" x14ac:dyDescent="0.25">
      <c r="B812" s="28"/>
      <c r="C812" s="28"/>
      <c r="D812" s="28"/>
    </row>
    <row r="813" spans="2:4" ht="15.75" customHeight="1" x14ac:dyDescent="0.25">
      <c r="B813" s="28"/>
      <c r="C813" s="28"/>
      <c r="D813" s="28"/>
    </row>
    <row r="814" spans="2:4" ht="15.75" customHeight="1" x14ac:dyDescent="0.25">
      <c r="B814" s="28"/>
      <c r="C814" s="28"/>
      <c r="D814" s="28"/>
    </row>
    <row r="815" spans="2:4" ht="15.75" customHeight="1" x14ac:dyDescent="0.25">
      <c r="B815" s="28"/>
      <c r="C815" s="28"/>
      <c r="D815" s="28"/>
    </row>
    <row r="816" spans="2:4" ht="15.75" customHeight="1" x14ac:dyDescent="0.25">
      <c r="B816" s="28"/>
      <c r="C816" s="28"/>
      <c r="D816" s="28"/>
    </row>
    <row r="817" spans="2:4" ht="15.75" customHeight="1" x14ac:dyDescent="0.25">
      <c r="B817" s="28"/>
      <c r="C817" s="28"/>
      <c r="D817" s="28"/>
    </row>
    <row r="818" spans="2:4" ht="15.75" customHeight="1" x14ac:dyDescent="0.25">
      <c r="B818" s="28"/>
      <c r="C818" s="28"/>
      <c r="D818" s="28"/>
    </row>
    <row r="819" spans="2:4" ht="15.75" customHeight="1" x14ac:dyDescent="0.25">
      <c r="B819" s="28"/>
      <c r="C819" s="28"/>
      <c r="D819" s="28"/>
    </row>
    <row r="820" spans="2:4" ht="15.75" customHeight="1" x14ac:dyDescent="0.25">
      <c r="B820" s="28"/>
      <c r="C820" s="28"/>
      <c r="D820" s="28"/>
    </row>
    <row r="821" spans="2:4" ht="15.75" customHeight="1" x14ac:dyDescent="0.25">
      <c r="B821" s="28"/>
      <c r="C821" s="28"/>
      <c r="D821" s="28"/>
    </row>
    <row r="822" spans="2:4" ht="15.75" customHeight="1" x14ac:dyDescent="0.25">
      <c r="B822" s="28"/>
      <c r="C822" s="28"/>
      <c r="D822" s="28"/>
    </row>
    <row r="823" spans="2:4" ht="15.75" customHeight="1" x14ac:dyDescent="0.25">
      <c r="B823" s="28"/>
      <c r="C823" s="28"/>
      <c r="D823" s="28"/>
    </row>
    <row r="824" spans="2:4" ht="15.75" customHeight="1" x14ac:dyDescent="0.25">
      <c r="B824" s="28"/>
      <c r="C824" s="28"/>
      <c r="D824" s="28"/>
    </row>
    <row r="825" spans="2:4" ht="15.75" customHeight="1" x14ac:dyDescent="0.25">
      <c r="B825" s="28"/>
      <c r="C825" s="28"/>
      <c r="D825" s="28"/>
    </row>
    <row r="826" spans="2:4" ht="15.75" customHeight="1" x14ac:dyDescent="0.25">
      <c r="B826" s="28"/>
      <c r="C826" s="28"/>
      <c r="D826" s="28"/>
    </row>
    <row r="827" spans="2:4" ht="15.75" customHeight="1" x14ac:dyDescent="0.25">
      <c r="B827" s="28"/>
      <c r="C827" s="28"/>
      <c r="D827" s="28"/>
    </row>
    <row r="828" spans="2:4" ht="15.75" customHeight="1" x14ac:dyDescent="0.25">
      <c r="B828" s="28"/>
      <c r="C828" s="28"/>
      <c r="D828" s="28"/>
    </row>
    <row r="829" spans="2:4" ht="15.75" customHeight="1" x14ac:dyDescent="0.25">
      <c r="B829" s="28"/>
      <c r="C829" s="28"/>
      <c r="D829" s="28"/>
    </row>
    <row r="830" spans="2:4" ht="15.75" customHeight="1" x14ac:dyDescent="0.25">
      <c r="B830" s="28"/>
      <c r="C830" s="28"/>
      <c r="D830" s="28"/>
    </row>
    <row r="831" spans="2:4" ht="15.75" customHeight="1" x14ac:dyDescent="0.25">
      <c r="B831" s="28"/>
      <c r="C831" s="28"/>
      <c r="D831" s="28"/>
    </row>
    <row r="832" spans="2:4" ht="15.75" customHeight="1" x14ac:dyDescent="0.25">
      <c r="B832" s="28"/>
      <c r="C832" s="28"/>
      <c r="D832" s="28"/>
    </row>
    <row r="833" spans="2:4" ht="15.75" customHeight="1" x14ac:dyDescent="0.25">
      <c r="B833" s="28"/>
      <c r="C833" s="28"/>
      <c r="D833" s="28"/>
    </row>
    <row r="834" spans="2:4" ht="15.75" customHeight="1" x14ac:dyDescent="0.25">
      <c r="B834" s="28"/>
      <c r="C834" s="28"/>
      <c r="D834" s="28"/>
    </row>
    <row r="835" spans="2:4" ht="15.75" customHeight="1" x14ac:dyDescent="0.25">
      <c r="B835" s="28"/>
      <c r="C835" s="28"/>
      <c r="D835" s="28"/>
    </row>
    <row r="836" spans="2:4" ht="15.75" customHeight="1" x14ac:dyDescent="0.25">
      <c r="B836" s="28"/>
      <c r="C836" s="28"/>
      <c r="D836" s="28"/>
    </row>
    <row r="837" spans="2:4" ht="15.75" customHeight="1" x14ac:dyDescent="0.25">
      <c r="B837" s="28"/>
      <c r="C837" s="28"/>
      <c r="D837" s="28"/>
    </row>
    <row r="838" spans="2:4" ht="15.75" customHeight="1" x14ac:dyDescent="0.25">
      <c r="B838" s="28"/>
      <c r="C838" s="28"/>
      <c r="D838" s="28"/>
    </row>
    <row r="839" spans="2:4" ht="15.75" customHeight="1" x14ac:dyDescent="0.25">
      <c r="B839" s="28"/>
      <c r="C839" s="28"/>
      <c r="D839" s="28"/>
    </row>
    <row r="840" spans="2:4" ht="15.75" customHeight="1" x14ac:dyDescent="0.25">
      <c r="B840" s="28"/>
      <c r="C840" s="28"/>
      <c r="D840" s="28"/>
    </row>
    <row r="841" spans="2:4" ht="15.75" customHeight="1" x14ac:dyDescent="0.25">
      <c r="B841" s="28"/>
      <c r="C841" s="28"/>
      <c r="D841" s="28"/>
    </row>
    <row r="842" spans="2:4" ht="15.75" customHeight="1" x14ac:dyDescent="0.25">
      <c r="B842" s="28"/>
      <c r="C842" s="28"/>
      <c r="D842" s="28"/>
    </row>
    <row r="843" spans="2:4" ht="15.75" customHeight="1" x14ac:dyDescent="0.25">
      <c r="B843" s="28"/>
      <c r="C843" s="28"/>
      <c r="D843" s="28"/>
    </row>
    <row r="844" spans="2:4" ht="15.75" customHeight="1" x14ac:dyDescent="0.25">
      <c r="B844" s="28"/>
      <c r="C844" s="28"/>
      <c r="D844" s="28"/>
    </row>
    <row r="845" spans="2:4" ht="15.75" customHeight="1" x14ac:dyDescent="0.25">
      <c r="B845" s="28"/>
      <c r="C845" s="28"/>
      <c r="D845" s="28"/>
    </row>
    <row r="846" spans="2:4" ht="15.75" customHeight="1" x14ac:dyDescent="0.25">
      <c r="B846" s="28"/>
      <c r="C846" s="28"/>
      <c r="D846" s="28"/>
    </row>
    <row r="847" spans="2:4" ht="15.75" customHeight="1" x14ac:dyDescent="0.25">
      <c r="B847" s="28"/>
      <c r="C847" s="28"/>
      <c r="D847" s="28"/>
    </row>
    <row r="848" spans="2:4" ht="15.75" customHeight="1" x14ac:dyDescent="0.25">
      <c r="B848" s="28"/>
      <c r="C848" s="28"/>
      <c r="D848" s="28"/>
    </row>
    <row r="849" spans="2:4" ht="15.75" customHeight="1" x14ac:dyDescent="0.25">
      <c r="B849" s="28"/>
      <c r="C849" s="28"/>
      <c r="D849" s="28"/>
    </row>
    <row r="850" spans="2:4" ht="15.75" customHeight="1" x14ac:dyDescent="0.25">
      <c r="B850" s="28"/>
      <c r="C850" s="28"/>
      <c r="D850" s="28"/>
    </row>
    <row r="851" spans="2:4" ht="15.75" customHeight="1" x14ac:dyDescent="0.25">
      <c r="B851" s="28"/>
      <c r="C851" s="28"/>
      <c r="D851" s="28"/>
    </row>
    <row r="852" spans="2:4" ht="15.75" customHeight="1" x14ac:dyDescent="0.25">
      <c r="B852" s="28"/>
      <c r="C852" s="28"/>
      <c r="D852" s="28"/>
    </row>
    <row r="853" spans="2:4" ht="15.75" customHeight="1" x14ac:dyDescent="0.25">
      <c r="B853" s="28"/>
      <c r="C853" s="28"/>
      <c r="D853" s="28"/>
    </row>
    <row r="854" spans="2:4" ht="15.75" customHeight="1" x14ac:dyDescent="0.25">
      <c r="B854" s="28"/>
      <c r="C854" s="28"/>
      <c r="D854" s="28"/>
    </row>
    <row r="855" spans="2:4" ht="15.75" customHeight="1" x14ac:dyDescent="0.25">
      <c r="B855" s="28"/>
      <c r="C855" s="28"/>
      <c r="D855" s="28"/>
    </row>
    <row r="856" spans="2:4" ht="15.75" customHeight="1" x14ac:dyDescent="0.25">
      <c r="B856" s="28"/>
      <c r="C856" s="28"/>
      <c r="D856" s="28"/>
    </row>
    <row r="857" spans="2:4" ht="15.75" customHeight="1" x14ac:dyDescent="0.25">
      <c r="B857" s="28"/>
      <c r="C857" s="28"/>
      <c r="D857" s="28"/>
    </row>
    <row r="858" spans="2:4" ht="15.75" customHeight="1" x14ac:dyDescent="0.25">
      <c r="B858" s="28"/>
      <c r="C858" s="28"/>
      <c r="D858" s="28"/>
    </row>
    <row r="859" spans="2:4" ht="15.75" customHeight="1" x14ac:dyDescent="0.25">
      <c r="B859" s="28"/>
      <c r="C859" s="28"/>
      <c r="D859" s="28"/>
    </row>
    <row r="860" spans="2:4" ht="15.75" customHeight="1" x14ac:dyDescent="0.25">
      <c r="B860" s="28"/>
      <c r="C860" s="28"/>
      <c r="D860" s="28"/>
    </row>
    <row r="861" spans="2:4" ht="15.75" customHeight="1" x14ac:dyDescent="0.25">
      <c r="B861" s="28"/>
      <c r="C861" s="28"/>
      <c r="D861" s="28"/>
    </row>
    <row r="862" spans="2:4" ht="15.75" customHeight="1" x14ac:dyDescent="0.25">
      <c r="B862" s="28"/>
      <c r="C862" s="28"/>
      <c r="D862" s="28"/>
    </row>
    <row r="863" spans="2:4" ht="15.75" customHeight="1" x14ac:dyDescent="0.25">
      <c r="B863" s="28"/>
      <c r="C863" s="28"/>
      <c r="D863" s="28"/>
    </row>
    <row r="864" spans="2:4" ht="15.75" customHeight="1" x14ac:dyDescent="0.25">
      <c r="B864" s="28"/>
      <c r="C864" s="28"/>
      <c r="D864" s="28"/>
    </row>
    <row r="865" spans="2:4" ht="15.75" customHeight="1" x14ac:dyDescent="0.25">
      <c r="B865" s="28"/>
      <c r="C865" s="28"/>
      <c r="D865" s="28"/>
    </row>
    <row r="866" spans="2:4" ht="15.75" customHeight="1" x14ac:dyDescent="0.25">
      <c r="B866" s="28"/>
      <c r="C866" s="28"/>
      <c r="D866" s="28"/>
    </row>
    <row r="867" spans="2:4" ht="15.75" customHeight="1" x14ac:dyDescent="0.25">
      <c r="B867" s="28"/>
      <c r="C867" s="28"/>
      <c r="D867" s="28"/>
    </row>
    <row r="868" spans="2:4" ht="15.75" customHeight="1" x14ac:dyDescent="0.25">
      <c r="B868" s="28"/>
      <c r="C868" s="28"/>
      <c r="D868" s="28"/>
    </row>
    <row r="869" spans="2:4" ht="15.75" customHeight="1" x14ac:dyDescent="0.25">
      <c r="B869" s="28"/>
      <c r="C869" s="28"/>
      <c r="D869" s="28"/>
    </row>
    <row r="870" spans="2:4" ht="15.75" customHeight="1" x14ac:dyDescent="0.25">
      <c r="B870" s="28"/>
      <c r="C870" s="28"/>
      <c r="D870" s="28"/>
    </row>
    <row r="871" spans="2:4" ht="15.75" customHeight="1" x14ac:dyDescent="0.25">
      <c r="B871" s="28"/>
      <c r="C871" s="28"/>
      <c r="D871" s="28"/>
    </row>
    <row r="872" spans="2:4" ht="15.75" customHeight="1" x14ac:dyDescent="0.25">
      <c r="B872" s="28"/>
      <c r="C872" s="28"/>
      <c r="D872" s="28"/>
    </row>
    <row r="873" spans="2:4" ht="15.75" customHeight="1" x14ac:dyDescent="0.25">
      <c r="B873" s="28"/>
      <c r="C873" s="28"/>
      <c r="D873" s="28"/>
    </row>
    <row r="874" spans="2:4" ht="15.75" customHeight="1" x14ac:dyDescent="0.25">
      <c r="B874" s="28"/>
      <c r="C874" s="28"/>
      <c r="D874" s="28"/>
    </row>
    <row r="875" spans="2:4" ht="15.75" customHeight="1" x14ac:dyDescent="0.25">
      <c r="B875" s="28"/>
      <c r="C875" s="28"/>
      <c r="D875" s="28"/>
    </row>
    <row r="876" spans="2:4" ht="15.75" customHeight="1" x14ac:dyDescent="0.25">
      <c r="B876" s="28"/>
      <c r="C876" s="28"/>
      <c r="D876" s="28"/>
    </row>
    <row r="877" spans="2:4" ht="15.75" customHeight="1" x14ac:dyDescent="0.25">
      <c r="B877" s="28"/>
      <c r="C877" s="28"/>
      <c r="D877" s="28"/>
    </row>
    <row r="878" spans="2:4" ht="15.75" customHeight="1" x14ac:dyDescent="0.25">
      <c r="B878" s="28"/>
      <c r="C878" s="28"/>
      <c r="D878" s="28"/>
    </row>
    <row r="879" spans="2:4" ht="15.75" customHeight="1" x14ac:dyDescent="0.25">
      <c r="B879" s="28"/>
      <c r="C879" s="28"/>
      <c r="D879" s="28"/>
    </row>
    <row r="880" spans="2:4" ht="15.75" customHeight="1" x14ac:dyDescent="0.25">
      <c r="B880" s="28"/>
      <c r="C880" s="28"/>
      <c r="D880" s="28"/>
    </row>
    <row r="881" spans="2:4" ht="15.75" customHeight="1" x14ac:dyDescent="0.25">
      <c r="B881" s="28"/>
      <c r="C881" s="28"/>
      <c r="D881" s="28"/>
    </row>
    <row r="882" spans="2:4" ht="15.75" customHeight="1" x14ac:dyDescent="0.25">
      <c r="B882" s="28"/>
      <c r="C882" s="28"/>
      <c r="D882" s="28"/>
    </row>
    <row r="883" spans="2:4" ht="15.75" customHeight="1" x14ac:dyDescent="0.25">
      <c r="B883" s="28"/>
      <c r="C883" s="28"/>
      <c r="D883" s="28"/>
    </row>
    <row r="884" spans="2:4" ht="15.75" customHeight="1" x14ac:dyDescent="0.25">
      <c r="B884" s="28"/>
      <c r="C884" s="28"/>
      <c r="D884" s="28"/>
    </row>
    <row r="885" spans="2:4" ht="15.75" customHeight="1" x14ac:dyDescent="0.25">
      <c r="B885" s="28"/>
      <c r="C885" s="28"/>
      <c r="D885" s="28"/>
    </row>
    <row r="886" spans="2:4" ht="15.75" customHeight="1" x14ac:dyDescent="0.25">
      <c r="B886" s="28"/>
      <c r="C886" s="28"/>
      <c r="D886" s="28"/>
    </row>
    <row r="887" spans="2:4" ht="15.75" customHeight="1" x14ac:dyDescent="0.25">
      <c r="B887" s="28"/>
      <c r="C887" s="28"/>
      <c r="D887" s="28"/>
    </row>
    <row r="888" spans="2:4" ht="15.75" customHeight="1" x14ac:dyDescent="0.25">
      <c r="B888" s="28"/>
      <c r="C888" s="28"/>
      <c r="D888" s="28"/>
    </row>
    <row r="889" spans="2:4" ht="15.75" customHeight="1" x14ac:dyDescent="0.25">
      <c r="B889" s="28"/>
      <c r="C889" s="28"/>
      <c r="D889" s="28"/>
    </row>
    <row r="890" spans="2:4" ht="15.75" customHeight="1" x14ac:dyDescent="0.25">
      <c r="B890" s="28"/>
      <c r="C890" s="28"/>
      <c r="D890" s="28"/>
    </row>
    <row r="891" spans="2:4" ht="15.75" customHeight="1" x14ac:dyDescent="0.25">
      <c r="B891" s="28"/>
      <c r="C891" s="28"/>
      <c r="D891" s="28"/>
    </row>
    <row r="892" spans="2:4" ht="15.75" customHeight="1" x14ac:dyDescent="0.25">
      <c r="B892" s="28"/>
      <c r="C892" s="28"/>
      <c r="D892" s="28"/>
    </row>
    <row r="893" spans="2:4" ht="15.75" customHeight="1" x14ac:dyDescent="0.25">
      <c r="B893" s="28"/>
      <c r="C893" s="28"/>
      <c r="D893" s="28"/>
    </row>
    <row r="894" spans="2:4" ht="15.75" customHeight="1" x14ac:dyDescent="0.25">
      <c r="B894" s="28"/>
      <c r="C894" s="28"/>
      <c r="D894" s="28"/>
    </row>
    <row r="895" spans="2:4" ht="15.75" customHeight="1" x14ac:dyDescent="0.25">
      <c r="B895" s="28"/>
      <c r="C895" s="28"/>
      <c r="D895" s="28"/>
    </row>
    <row r="896" spans="2:4" ht="15.75" customHeight="1" x14ac:dyDescent="0.25">
      <c r="B896" s="28"/>
      <c r="C896" s="28"/>
      <c r="D896" s="28"/>
    </row>
    <row r="897" spans="2:4" ht="15.75" customHeight="1" x14ac:dyDescent="0.25">
      <c r="B897" s="28"/>
      <c r="C897" s="28"/>
      <c r="D897" s="28"/>
    </row>
    <row r="898" spans="2:4" ht="15.75" customHeight="1" x14ac:dyDescent="0.25">
      <c r="B898" s="28"/>
      <c r="C898" s="28"/>
      <c r="D898" s="28"/>
    </row>
    <row r="899" spans="2:4" ht="15.75" customHeight="1" x14ac:dyDescent="0.25">
      <c r="B899" s="28"/>
      <c r="C899" s="28"/>
      <c r="D899" s="28"/>
    </row>
    <row r="900" spans="2:4" ht="15.75" customHeight="1" x14ac:dyDescent="0.25">
      <c r="B900" s="28"/>
      <c r="C900" s="28"/>
      <c r="D900" s="28"/>
    </row>
    <row r="901" spans="2:4" ht="15.75" customHeight="1" x14ac:dyDescent="0.25">
      <c r="B901" s="28"/>
      <c r="C901" s="28"/>
      <c r="D901" s="28"/>
    </row>
    <row r="902" spans="2:4" ht="15.75" customHeight="1" x14ac:dyDescent="0.25">
      <c r="B902" s="28"/>
      <c r="C902" s="28"/>
      <c r="D902" s="28"/>
    </row>
    <row r="903" spans="2:4" ht="15.75" customHeight="1" x14ac:dyDescent="0.25">
      <c r="B903" s="28"/>
      <c r="C903" s="28"/>
      <c r="D903" s="28"/>
    </row>
    <row r="904" spans="2:4" ht="15.75" customHeight="1" x14ac:dyDescent="0.25">
      <c r="B904" s="28"/>
      <c r="C904" s="28"/>
      <c r="D904" s="28"/>
    </row>
    <row r="905" spans="2:4" ht="15.75" customHeight="1" x14ac:dyDescent="0.25">
      <c r="B905" s="28"/>
      <c r="C905" s="28"/>
      <c r="D905" s="28"/>
    </row>
    <row r="906" spans="2:4" ht="15.75" customHeight="1" x14ac:dyDescent="0.25">
      <c r="B906" s="28"/>
      <c r="C906" s="28"/>
      <c r="D906" s="28"/>
    </row>
    <row r="907" spans="2:4" ht="15.75" customHeight="1" x14ac:dyDescent="0.25">
      <c r="B907" s="28"/>
      <c r="C907" s="28"/>
      <c r="D907" s="28"/>
    </row>
    <row r="908" spans="2:4" ht="15.75" customHeight="1" x14ac:dyDescent="0.25">
      <c r="B908" s="28"/>
      <c r="C908" s="28"/>
      <c r="D908" s="28"/>
    </row>
    <row r="909" spans="2:4" ht="15.75" customHeight="1" x14ac:dyDescent="0.25">
      <c r="B909" s="28"/>
      <c r="C909" s="28"/>
      <c r="D909" s="28"/>
    </row>
    <row r="910" spans="2:4" ht="15.75" customHeight="1" x14ac:dyDescent="0.25">
      <c r="B910" s="28"/>
      <c r="C910" s="28"/>
      <c r="D910" s="28"/>
    </row>
    <row r="911" spans="2:4" ht="15.75" customHeight="1" x14ac:dyDescent="0.25">
      <c r="B911" s="28"/>
      <c r="C911" s="28"/>
      <c r="D911" s="28"/>
    </row>
    <row r="912" spans="2:4" ht="15.75" customHeight="1" x14ac:dyDescent="0.25">
      <c r="B912" s="28"/>
      <c r="C912" s="28"/>
      <c r="D912" s="28"/>
    </row>
    <row r="913" spans="2:4" ht="15.75" customHeight="1" x14ac:dyDescent="0.25">
      <c r="B913" s="28"/>
      <c r="C913" s="28"/>
      <c r="D913" s="28"/>
    </row>
    <row r="914" spans="2:4" ht="15.75" customHeight="1" x14ac:dyDescent="0.25">
      <c r="B914" s="28"/>
      <c r="C914" s="28"/>
      <c r="D914" s="28"/>
    </row>
    <row r="915" spans="2:4" ht="15.75" customHeight="1" x14ac:dyDescent="0.25">
      <c r="B915" s="28"/>
      <c r="C915" s="28"/>
      <c r="D915" s="28"/>
    </row>
    <row r="916" spans="2:4" ht="15.75" customHeight="1" x14ac:dyDescent="0.25">
      <c r="B916" s="28"/>
      <c r="C916" s="28"/>
      <c r="D916" s="28"/>
    </row>
    <row r="917" spans="2:4" ht="15.75" customHeight="1" x14ac:dyDescent="0.25">
      <c r="B917" s="28"/>
      <c r="C917" s="28"/>
      <c r="D917" s="28"/>
    </row>
    <row r="918" spans="2:4" ht="15.75" customHeight="1" x14ac:dyDescent="0.25">
      <c r="B918" s="28"/>
      <c r="C918" s="28"/>
      <c r="D918" s="28"/>
    </row>
    <row r="919" spans="2:4" ht="15.75" customHeight="1" x14ac:dyDescent="0.25">
      <c r="B919" s="28"/>
      <c r="C919" s="28"/>
      <c r="D919" s="28"/>
    </row>
    <row r="920" spans="2:4" ht="15.75" customHeight="1" x14ac:dyDescent="0.25">
      <c r="B920" s="28"/>
      <c r="C920" s="28"/>
      <c r="D920" s="28"/>
    </row>
    <row r="921" spans="2:4" ht="15.75" customHeight="1" x14ac:dyDescent="0.25">
      <c r="B921" s="28"/>
      <c r="C921" s="28"/>
      <c r="D921" s="28"/>
    </row>
    <row r="922" spans="2:4" ht="15.75" customHeight="1" x14ac:dyDescent="0.25">
      <c r="B922" s="28"/>
      <c r="C922" s="28"/>
      <c r="D922" s="28"/>
    </row>
    <row r="923" spans="2:4" ht="15.75" customHeight="1" x14ac:dyDescent="0.25">
      <c r="B923" s="28"/>
      <c r="C923" s="28"/>
      <c r="D923" s="28"/>
    </row>
    <row r="924" spans="2:4" ht="15.75" customHeight="1" x14ac:dyDescent="0.25">
      <c r="B924" s="28"/>
      <c r="C924" s="28"/>
      <c r="D924" s="28"/>
    </row>
    <row r="925" spans="2:4" ht="15.75" customHeight="1" x14ac:dyDescent="0.25">
      <c r="B925" s="28"/>
      <c r="C925" s="28"/>
      <c r="D925" s="28"/>
    </row>
    <row r="926" spans="2:4" ht="15.75" customHeight="1" x14ac:dyDescent="0.25">
      <c r="B926" s="28"/>
      <c r="C926" s="28"/>
      <c r="D926" s="28"/>
    </row>
    <row r="927" spans="2:4" ht="15.75" customHeight="1" x14ac:dyDescent="0.25">
      <c r="B927" s="28"/>
      <c r="C927" s="28"/>
      <c r="D927" s="28"/>
    </row>
    <row r="928" spans="2:4" ht="15.75" customHeight="1" x14ac:dyDescent="0.25">
      <c r="B928" s="28"/>
      <c r="C928" s="28"/>
      <c r="D928" s="28"/>
    </row>
    <row r="929" spans="2:4" ht="15.75" customHeight="1" x14ac:dyDescent="0.25">
      <c r="B929" s="28"/>
      <c r="C929" s="28"/>
      <c r="D929" s="28"/>
    </row>
    <row r="930" spans="2:4" ht="15.75" customHeight="1" x14ac:dyDescent="0.25">
      <c r="B930" s="28"/>
      <c r="C930" s="28"/>
      <c r="D930" s="28"/>
    </row>
    <row r="931" spans="2:4" ht="15.75" customHeight="1" x14ac:dyDescent="0.25">
      <c r="B931" s="28"/>
      <c r="C931" s="28"/>
      <c r="D931" s="28"/>
    </row>
    <row r="932" spans="2:4" ht="15.75" customHeight="1" x14ac:dyDescent="0.25">
      <c r="B932" s="28"/>
      <c r="C932" s="28"/>
      <c r="D932" s="28"/>
    </row>
    <row r="933" spans="2:4" ht="15.75" customHeight="1" x14ac:dyDescent="0.25">
      <c r="B933" s="28"/>
      <c r="C933" s="28"/>
      <c r="D933" s="28"/>
    </row>
    <row r="934" spans="2:4" ht="15.75" customHeight="1" x14ac:dyDescent="0.25">
      <c r="B934" s="28"/>
      <c r="C934" s="28"/>
      <c r="D934" s="28"/>
    </row>
    <row r="935" spans="2:4" ht="15.75" customHeight="1" x14ac:dyDescent="0.25">
      <c r="B935" s="28"/>
      <c r="C935" s="28"/>
      <c r="D935" s="28"/>
    </row>
    <row r="936" spans="2:4" ht="15.75" customHeight="1" x14ac:dyDescent="0.25">
      <c r="B936" s="28"/>
      <c r="C936" s="28"/>
      <c r="D936" s="28"/>
    </row>
    <row r="937" spans="2:4" ht="15.75" customHeight="1" x14ac:dyDescent="0.25">
      <c r="B937" s="28"/>
      <c r="C937" s="28"/>
      <c r="D937" s="28"/>
    </row>
    <row r="938" spans="2:4" ht="15.75" customHeight="1" x14ac:dyDescent="0.25">
      <c r="B938" s="28"/>
      <c r="C938" s="28"/>
      <c r="D938" s="28"/>
    </row>
    <row r="939" spans="2:4" ht="15.75" customHeight="1" x14ac:dyDescent="0.25">
      <c r="B939" s="28"/>
      <c r="C939" s="28"/>
      <c r="D939" s="28"/>
    </row>
    <row r="940" spans="2:4" ht="15.75" customHeight="1" x14ac:dyDescent="0.25">
      <c r="B940" s="28"/>
      <c r="C940" s="28"/>
      <c r="D940" s="28"/>
    </row>
    <row r="941" spans="2:4" ht="15.75" customHeight="1" x14ac:dyDescent="0.25">
      <c r="B941" s="28"/>
      <c r="C941" s="28"/>
      <c r="D941" s="28"/>
    </row>
    <row r="942" spans="2:4" ht="15.75" customHeight="1" x14ac:dyDescent="0.25">
      <c r="B942" s="28"/>
      <c r="C942" s="28"/>
      <c r="D942" s="28"/>
    </row>
    <row r="943" spans="2:4" ht="15.75" customHeight="1" x14ac:dyDescent="0.25">
      <c r="B943" s="28"/>
      <c r="C943" s="28"/>
      <c r="D943" s="28"/>
    </row>
    <row r="944" spans="2:4" ht="15.75" customHeight="1" x14ac:dyDescent="0.25">
      <c r="B944" s="28"/>
      <c r="C944" s="28"/>
      <c r="D944" s="28"/>
    </row>
    <row r="945" spans="2:4" ht="15.75" customHeight="1" x14ac:dyDescent="0.25">
      <c r="B945" s="28"/>
      <c r="C945" s="28"/>
      <c r="D945" s="28"/>
    </row>
    <row r="946" spans="2:4" ht="15.75" customHeight="1" x14ac:dyDescent="0.25">
      <c r="B946" s="28"/>
      <c r="C946" s="28"/>
      <c r="D946" s="28"/>
    </row>
    <row r="947" spans="2:4" ht="15.75" customHeight="1" x14ac:dyDescent="0.25">
      <c r="B947" s="28"/>
      <c r="C947" s="28"/>
      <c r="D947" s="28"/>
    </row>
    <row r="948" spans="2:4" ht="15.75" customHeight="1" x14ac:dyDescent="0.25">
      <c r="B948" s="28"/>
      <c r="C948" s="28"/>
      <c r="D948" s="28"/>
    </row>
    <row r="949" spans="2:4" ht="15.75" customHeight="1" x14ac:dyDescent="0.25">
      <c r="B949" s="28"/>
      <c r="C949" s="28"/>
      <c r="D949" s="28"/>
    </row>
    <row r="950" spans="2:4" ht="15.75" customHeight="1" x14ac:dyDescent="0.25">
      <c r="B950" s="28"/>
      <c r="C950" s="28"/>
      <c r="D950" s="28"/>
    </row>
    <row r="951" spans="2:4" ht="15.75" customHeight="1" x14ac:dyDescent="0.25">
      <c r="B951" s="28"/>
      <c r="C951" s="28"/>
      <c r="D951" s="28"/>
    </row>
    <row r="952" spans="2:4" ht="15.75" customHeight="1" x14ac:dyDescent="0.25">
      <c r="B952" s="28"/>
      <c r="C952" s="28"/>
      <c r="D952" s="28"/>
    </row>
    <row r="953" spans="2:4" ht="15.75" customHeight="1" x14ac:dyDescent="0.25">
      <c r="B953" s="28"/>
      <c r="C953" s="28"/>
      <c r="D953" s="28"/>
    </row>
    <row r="954" spans="2:4" ht="15.75" customHeight="1" x14ac:dyDescent="0.25">
      <c r="B954" s="28"/>
      <c r="C954" s="28"/>
      <c r="D954" s="28"/>
    </row>
    <row r="955" spans="2:4" ht="15.75" customHeight="1" x14ac:dyDescent="0.25">
      <c r="B955" s="28"/>
      <c r="C955" s="28"/>
      <c r="D955" s="28"/>
    </row>
    <row r="956" spans="2:4" ht="15.75" customHeight="1" x14ac:dyDescent="0.25">
      <c r="B956" s="28"/>
      <c r="C956" s="28"/>
      <c r="D956" s="28"/>
    </row>
    <row r="957" spans="2:4" ht="15.75" customHeight="1" x14ac:dyDescent="0.25">
      <c r="B957" s="28"/>
      <c r="C957" s="28"/>
      <c r="D957" s="28"/>
    </row>
    <row r="958" spans="2:4" ht="15.75" customHeight="1" x14ac:dyDescent="0.25">
      <c r="B958" s="28"/>
      <c r="C958" s="28"/>
      <c r="D958" s="28"/>
    </row>
    <row r="959" spans="2:4" ht="15.75" customHeight="1" x14ac:dyDescent="0.25">
      <c r="B959" s="28"/>
      <c r="C959" s="28"/>
      <c r="D959" s="28"/>
    </row>
    <row r="960" spans="2:4" ht="15.75" customHeight="1" x14ac:dyDescent="0.25">
      <c r="B960" s="28"/>
      <c r="C960" s="28"/>
      <c r="D960" s="28"/>
    </row>
    <row r="961" spans="2:4" ht="15.75" customHeight="1" x14ac:dyDescent="0.25">
      <c r="B961" s="28"/>
      <c r="C961" s="28"/>
      <c r="D961" s="28"/>
    </row>
    <row r="962" spans="2:4" ht="15.75" customHeight="1" x14ac:dyDescent="0.25">
      <c r="B962" s="28"/>
      <c r="C962" s="28"/>
      <c r="D962" s="28"/>
    </row>
    <row r="963" spans="2:4" ht="15.75" customHeight="1" x14ac:dyDescent="0.25">
      <c r="B963" s="28"/>
      <c r="C963" s="28"/>
      <c r="D963" s="28"/>
    </row>
    <row r="964" spans="2:4" ht="15.75" customHeight="1" x14ac:dyDescent="0.25">
      <c r="B964" s="28"/>
      <c r="C964" s="28"/>
      <c r="D964" s="28"/>
    </row>
    <row r="965" spans="2:4" ht="15.75" customHeight="1" x14ac:dyDescent="0.25">
      <c r="B965" s="28"/>
      <c r="C965" s="28"/>
      <c r="D965" s="28"/>
    </row>
    <row r="966" spans="2:4" ht="15.75" customHeight="1" x14ac:dyDescent="0.25">
      <c r="B966" s="28"/>
      <c r="C966" s="28"/>
      <c r="D966" s="28"/>
    </row>
    <row r="967" spans="2:4" ht="15.75" customHeight="1" x14ac:dyDescent="0.25">
      <c r="B967" s="28"/>
      <c r="C967" s="28"/>
      <c r="D967" s="28"/>
    </row>
    <row r="968" spans="2:4" ht="15.75" customHeight="1" x14ac:dyDescent="0.25">
      <c r="B968" s="28"/>
      <c r="C968" s="28"/>
      <c r="D968" s="28"/>
    </row>
    <row r="969" spans="2:4" ht="15.75" customHeight="1" x14ac:dyDescent="0.25">
      <c r="B969" s="28"/>
      <c r="C969" s="28"/>
      <c r="D969" s="28"/>
    </row>
    <row r="970" spans="2:4" ht="15.75" customHeight="1" x14ac:dyDescent="0.25">
      <c r="B970" s="28"/>
      <c r="C970" s="28"/>
      <c r="D970" s="28"/>
    </row>
    <row r="971" spans="2:4" ht="15.75" customHeight="1" x14ac:dyDescent="0.25">
      <c r="B971" s="28"/>
      <c r="C971" s="28"/>
      <c r="D971" s="28"/>
    </row>
    <row r="972" spans="2:4" ht="15.75" customHeight="1" x14ac:dyDescent="0.25">
      <c r="B972" s="28"/>
      <c r="C972" s="28"/>
      <c r="D972" s="28"/>
    </row>
    <row r="973" spans="2:4" ht="15.75" customHeight="1" x14ac:dyDescent="0.25">
      <c r="B973" s="28"/>
      <c r="C973" s="28"/>
      <c r="D973" s="28"/>
    </row>
    <row r="974" spans="2:4" ht="15.75" customHeight="1" x14ac:dyDescent="0.25">
      <c r="B974" s="28"/>
      <c r="C974" s="28"/>
      <c r="D974" s="28"/>
    </row>
    <row r="975" spans="2:4" ht="15.75" customHeight="1" x14ac:dyDescent="0.25">
      <c r="B975" s="28"/>
      <c r="C975" s="28"/>
      <c r="D975" s="28"/>
    </row>
    <row r="976" spans="2:4" ht="15.75" customHeight="1" x14ac:dyDescent="0.25">
      <c r="B976" s="28"/>
      <c r="C976" s="28"/>
      <c r="D976" s="28"/>
    </row>
    <row r="977" spans="2:4" ht="15.75" customHeight="1" x14ac:dyDescent="0.25">
      <c r="B977" s="28"/>
      <c r="C977" s="28"/>
      <c r="D977" s="28"/>
    </row>
    <row r="978" spans="2:4" ht="15.75" customHeight="1" x14ac:dyDescent="0.25">
      <c r="B978" s="28"/>
      <c r="C978" s="28"/>
      <c r="D978" s="28"/>
    </row>
    <row r="979" spans="2:4" ht="15.75" customHeight="1" x14ac:dyDescent="0.25">
      <c r="B979" s="28"/>
      <c r="C979" s="28"/>
      <c r="D979" s="28"/>
    </row>
    <row r="980" spans="2:4" ht="15.75" customHeight="1" x14ac:dyDescent="0.25">
      <c r="B980" s="28"/>
      <c r="C980" s="28"/>
      <c r="D980" s="28"/>
    </row>
    <row r="981" spans="2:4" ht="15.75" customHeight="1" x14ac:dyDescent="0.25">
      <c r="B981" s="28"/>
      <c r="C981" s="28"/>
      <c r="D981" s="28"/>
    </row>
    <row r="982" spans="2:4" ht="15.75" customHeight="1" x14ac:dyDescent="0.25">
      <c r="B982" s="28"/>
      <c r="C982" s="28"/>
      <c r="D982" s="28"/>
    </row>
    <row r="983" spans="2:4" ht="15.75" customHeight="1" x14ac:dyDescent="0.25">
      <c r="B983" s="28"/>
      <c r="C983" s="28"/>
      <c r="D983" s="28"/>
    </row>
    <row r="984" spans="2:4" ht="15.75" customHeight="1" x14ac:dyDescent="0.25">
      <c r="B984" s="28"/>
      <c r="C984" s="28"/>
      <c r="D984" s="28"/>
    </row>
    <row r="985" spans="2:4" ht="15.75" customHeight="1" x14ac:dyDescent="0.25">
      <c r="B985" s="28"/>
      <c r="C985" s="28"/>
      <c r="D985" s="28"/>
    </row>
    <row r="986" spans="2:4" ht="15.75" customHeight="1" x14ac:dyDescent="0.25">
      <c r="B986" s="28"/>
      <c r="C986" s="28"/>
      <c r="D986" s="28"/>
    </row>
    <row r="987" spans="2:4" ht="15.75" customHeight="1" x14ac:dyDescent="0.25">
      <c r="B987" s="28"/>
      <c r="C987" s="28"/>
      <c r="D987" s="28"/>
    </row>
    <row r="988" spans="2:4" ht="15.75" customHeight="1" x14ac:dyDescent="0.25">
      <c r="B988" s="28"/>
      <c r="C988" s="28"/>
      <c r="D988" s="28"/>
    </row>
    <row r="989" spans="2:4" ht="15.75" customHeight="1" x14ac:dyDescent="0.25">
      <c r="B989" s="28"/>
      <c r="C989" s="28"/>
      <c r="D989" s="28"/>
    </row>
    <row r="990" spans="2:4" ht="15.75" customHeight="1" x14ac:dyDescent="0.25">
      <c r="B990" s="28"/>
      <c r="C990" s="28"/>
      <c r="D990" s="28"/>
    </row>
    <row r="991" spans="2:4" ht="15.75" customHeight="1" x14ac:dyDescent="0.25">
      <c r="B991" s="28"/>
      <c r="C991" s="28"/>
      <c r="D991" s="28"/>
    </row>
    <row r="992" spans="2:4" ht="15.75" customHeight="1" x14ac:dyDescent="0.25">
      <c r="B992" s="28"/>
      <c r="C992" s="28"/>
      <c r="D992" s="28"/>
    </row>
    <row r="993" spans="2:4" ht="15.75" customHeight="1" x14ac:dyDescent="0.25">
      <c r="B993" s="28"/>
      <c r="C993" s="28"/>
      <c r="D993" s="28"/>
    </row>
    <row r="994" spans="2:4" ht="15.75" customHeight="1" x14ac:dyDescent="0.25">
      <c r="B994" s="28"/>
      <c r="C994" s="28"/>
      <c r="D994" s="28"/>
    </row>
    <row r="995" spans="2:4" ht="15.75" customHeight="1" x14ac:dyDescent="0.25">
      <c r="B995" s="28"/>
      <c r="C995" s="28"/>
      <c r="D995" s="28"/>
    </row>
    <row r="996" spans="2:4" ht="15.75" customHeight="1" x14ac:dyDescent="0.25">
      <c r="B996" s="28"/>
      <c r="C996" s="28"/>
      <c r="D996" s="28"/>
    </row>
    <row r="997" spans="2:4" ht="15.75" customHeight="1" x14ac:dyDescent="0.25">
      <c r="B997" s="28"/>
      <c r="C997" s="28"/>
      <c r="D997" s="28"/>
    </row>
    <row r="998" spans="2:4" ht="15.75" customHeight="1" x14ac:dyDescent="0.25">
      <c r="B998" s="28"/>
      <c r="C998" s="28"/>
      <c r="D998" s="28"/>
    </row>
    <row r="999" spans="2:4" ht="15.75" customHeight="1" x14ac:dyDescent="0.25">
      <c r="B999" s="28"/>
      <c r="C999" s="28"/>
      <c r="D999" s="28"/>
    </row>
    <row r="1000" spans="2:4" ht="15.75" customHeight="1" x14ac:dyDescent="0.25">
      <c r="B1000" s="28"/>
      <c r="C1000" s="28"/>
      <c r="D1000" s="28"/>
    </row>
    <row r="1001" spans="2:4" ht="15.75" customHeight="1" x14ac:dyDescent="0.25">
      <c r="B1001" s="28"/>
      <c r="C1001" s="28"/>
      <c r="D1001" s="28"/>
    </row>
    <row r="1002" spans="2:4" ht="15.75" customHeight="1" x14ac:dyDescent="0.25">
      <c r="B1002" s="28"/>
      <c r="C1002" s="28"/>
      <c r="D1002" s="28"/>
    </row>
    <row r="1003" spans="2:4" ht="15.75" customHeight="1" x14ac:dyDescent="0.25">
      <c r="B1003" s="28"/>
      <c r="C1003" s="28"/>
      <c r="D1003" s="28"/>
    </row>
    <row r="1004" spans="2:4" ht="15.75" customHeight="1" x14ac:dyDescent="0.25">
      <c r="B1004" s="28"/>
      <c r="C1004" s="28"/>
      <c r="D1004" s="28"/>
    </row>
    <row r="1005" spans="2:4" ht="15.75" customHeight="1" x14ac:dyDescent="0.25">
      <c r="B1005" s="28"/>
      <c r="C1005" s="28"/>
      <c r="D1005" s="28"/>
    </row>
    <row r="1006" spans="2:4" ht="15.75" customHeight="1" x14ac:dyDescent="0.25">
      <c r="B1006" s="28"/>
      <c r="C1006" s="28"/>
      <c r="D1006" s="28"/>
    </row>
    <row r="1007" spans="2:4" ht="15.75" customHeight="1" x14ac:dyDescent="0.25">
      <c r="B1007" s="28"/>
      <c r="C1007" s="28"/>
      <c r="D1007" s="28"/>
    </row>
    <row r="1008" spans="2:4" ht="15.75" customHeight="1" x14ac:dyDescent="0.25">
      <c r="B1008" s="28"/>
      <c r="C1008" s="28"/>
      <c r="D1008" s="28"/>
    </row>
    <row r="1009" spans="2:4" ht="15.75" customHeight="1" x14ac:dyDescent="0.25">
      <c r="B1009" s="28"/>
      <c r="C1009" s="28"/>
      <c r="D1009" s="28"/>
    </row>
    <row r="1010" spans="2:4" ht="15.75" customHeight="1" x14ac:dyDescent="0.25">
      <c r="B1010" s="28"/>
      <c r="C1010" s="28"/>
      <c r="D1010" s="28"/>
    </row>
    <row r="1011" spans="2:4" ht="15.75" customHeight="1" x14ac:dyDescent="0.25">
      <c r="B1011" s="28"/>
      <c r="C1011" s="28"/>
      <c r="D1011" s="28"/>
    </row>
    <row r="1012" spans="2:4" ht="15.75" customHeight="1" x14ac:dyDescent="0.25">
      <c r="B1012" s="28"/>
      <c r="C1012" s="28"/>
      <c r="D1012" s="28"/>
    </row>
    <row r="1013" spans="2:4" ht="15.75" customHeight="1" x14ac:dyDescent="0.25">
      <c r="B1013" s="28"/>
      <c r="C1013" s="28"/>
      <c r="D1013" s="28"/>
    </row>
    <row r="1014" spans="2:4" ht="15.75" customHeight="1" x14ac:dyDescent="0.25">
      <c r="B1014" s="28"/>
      <c r="C1014" s="28"/>
      <c r="D1014" s="28"/>
    </row>
    <row r="1015" spans="2:4" ht="15.75" customHeight="1" x14ac:dyDescent="0.25">
      <c r="B1015" s="28"/>
      <c r="C1015" s="28"/>
      <c r="D1015" s="28"/>
    </row>
    <row r="1016" spans="2:4" ht="15.75" customHeight="1" x14ac:dyDescent="0.25">
      <c r="B1016" s="28"/>
      <c r="C1016" s="28"/>
      <c r="D1016" s="28"/>
    </row>
    <row r="1017" spans="2:4" ht="15.75" customHeight="1" x14ac:dyDescent="0.25">
      <c r="B1017" s="28"/>
      <c r="C1017" s="28"/>
      <c r="D1017" s="28"/>
    </row>
    <row r="1018" spans="2:4" ht="15.75" customHeight="1" x14ac:dyDescent="0.25">
      <c r="B1018" s="28"/>
      <c r="C1018" s="28"/>
      <c r="D1018" s="28"/>
    </row>
    <row r="1019" spans="2:4" ht="15.75" customHeight="1" x14ac:dyDescent="0.25">
      <c r="B1019" s="28"/>
      <c r="C1019" s="28"/>
      <c r="D1019" s="28"/>
    </row>
    <row r="1020" spans="2:4" ht="15.75" customHeight="1" x14ac:dyDescent="0.25">
      <c r="B1020" s="28"/>
      <c r="C1020" s="28"/>
      <c r="D1020" s="28"/>
    </row>
    <row r="1021" spans="2:4" ht="15.75" customHeight="1" x14ac:dyDescent="0.25">
      <c r="B1021" s="28"/>
      <c r="C1021" s="28"/>
      <c r="D1021" s="28"/>
    </row>
    <row r="1022" spans="2:4" ht="15.75" customHeight="1" x14ac:dyDescent="0.25">
      <c r="B1022" s="28"/>
      <c r="C1022" s="28"/>
      <c r="D1022" s="28"/>
    </row>
    <row r="1023" spans="2:4" ht="15.75" customHeight="1" x14ac:dyDescent="0.25">
      <c r="B1023" s="28"/>
      <c r="C1023" s="28"/>
      <c r="D1023" s="28"/>
    </row>
    <row r="1024" spans="2:4" ht="15.75" customHeight="1" x14ac:dyDescent="0.25">
      <c r="B1024" s="28"/>
      <c r="C1024" s="28"/>
      <c r="D1024" s="28"/>
    </row>
    <row r="1025" spans="2:4" ht="15.75" customHeight="1" x14ac:dyDescent="0.25">
      <c r="B1025" s="28"/>
      <c r="C1025" s="28"/>
      <c r="D1025" s="28"/>
    </row>
    <row r="1026" spans="2:4" ht="15.75" customHeight="1" x14ac:dyDescent="0.25">
      <c r="B1026" s="28"/>
      <c r="C1026" s="28"/>
      <c r="D1026" s="28"/>
    </row>
    <row r="1027" spans="2:4" ht="15.75" customHeight="1" x14ac:dyDescent="0.25">
      <c r="B1027" s="28"/>
      <c r="C1027" s="28"/>
      <c r="D1027" s="28"/>
    </row>
    <row r="1028" spans="2:4" ht="15.75" customHeight="1" x14ac:dyDescent="0.25">
      <c r="B1028" s="28"/>
      <c r="C1028" s="28"/>
      <c r="D1028" s="28"/>
    </row>
    <row r="1029" spans="2:4" ht="15.75" customHeight="1" x14ac:dyDescent="0.25">
      <c r="B1029" s="28"/>
      <c r="C1029" s="28"/>
      <c r="D1029" s="28"/>
    </row>
    <row r="1030" spans="2:4" ht="15.75" customHeight="1" x14ac:dyDescent="0.25">
      <c r="B1030" s="28"/>
      <c r="C1030" s="28"/>
      <c r="D1030" s="28"/>
    </row>
    <row r="1031" spans="2:4" ht="15.75" customHeight="1" x14ac:dyDescent="0.25">
      <c r="B1031" s="28"/>
      <c r="C1031" s="28"/>
      <c r="D1031" s="28"/>
    </row>
    <row r="1032" spans="2:4" ht="15.75" customHeight="1" x14ac:dyDescent="0.25">
      <c r="B1032" s="28"/>
      <c r="C1032" s="28"/>
      <c r="D1032" s="28"/>
    </row>
    <row r="1033" spans="2:4" ht="15.75" customHeight="1" x14ac:dyDescent="0.25">
      <c r="B1033" s="28"/>
      <c r="C1033" s="28"/>
      <c r="D1033" s="28"/>
    </row>
    <row r="1034" spans="2:4" ht="15.75" customHeight="1" x14ac:dyDescent="0.25">
      <c r="B1034" s="28"/>
      <c r="C1034" s="28"/>
      <c r="D1034" s="28"/>
    </row>
    <row r="1035" spans="2:4" ht="15.75" customHeight="1" x14ac:dyDescent="0.25">
      <c r="B1035" s="28"/>
      <c r="C1035" s="28"/>
      <c r="D1035" s="28"/>
    </row>
    <row r="1036" spans="2:4" ht="15.75" customHeight="1" x14ac:dyDescent="0.25">
      <c r="B1036" s="28"/>
      <c r="C1036" s="28"/>
      <c r="D1036" s="28"/>
    </row>
    <row r="1037" spans="2:4" ht="15.75" customHeight="1" x14ac:dyDescent="0.25">
      <c r="B1037" s="28"/>
      <c r="C1037" s="28"/>
      <c r="D1037" s="28"/>
    </row>
    <row r="1038" spans="2:4" ht="15.75" customHeight="1" x14ac:dyDescent="0.25">
      <c r="B1038" s="28"/>
      <c r="C1038" s="28"/>
      <c r="D1038" s="28"/>
    </row>
    <row r="1039" spans="2:4" ht="15.75" customHeight="1" x14ac:dyDescent="0.25">
      <c r="B1039" s="28"/>
      <c r="C1039" s="28"/>
      <c r="D1039" s="28"/>
    </row>
    <row r="1040" spans="2:4" ht="15.75" customHeight="1" x14ac:dyDescent="0.25">
      <c r="B1040" s="28"/>
      <c r="C1040" s="28"/>
      <c r="D1040" s="28"/>
    </row>
    <row r="1041" spans="2:4" ht="15.75" customHeight="1" x14ac:dyDescent="0.25">
      <c r="B1041" s="28"/>
      <c r="C1041" s="28"/>
      <c r="D1041" s="28"/>
    </row>
    <row r="1042" spans="2:4" ht="15.75" customHeight="1" x14ac:dyDescent="0.25">
      <c r="B1042" s="28"/>
      <c r="C1042" s="28"/>
      <c r="D1042" s="28"/>
    </row>
    <row r="1043" spans="2:4" ht="15.75" customHeight="1" x14ac:dyDescent="0.25">
      <c r="B1043" s="28"/>
      <c r="C1043" s="28"/>
      <c r="D1043" s="28"/>
    </row>
    <row r="1044" spans="2:4" ht="15.75" customHeight="1" x14ac:dyDescent="0.25">
      <c r="B1044" s="28"/>
      <c r="C1044" s="28"/>
      <c r="D1044" s="28"/>
    </row>
    <row r="1045" spans="2:4" ht="15.75" customHeight="1" x14ac:dyDescent="0.25">
      <c r="B1045" s="28"/>
      <c r="C1045" s="28"/>
      <c r="D1045" s="28"/>
    </row>
    <row r="1046" spans="2:4" ht="15.75" customHeight="1" x14ac:dyDescent="0.25">
      <c r="B1046" s="28"/>
      <c r="C1046" s="28"/>
      <c r="D1046" s="28"/>
    </row>
    <row r="1047" spans="2:4" ht="15.75" customHeight="1" x14ac:dyDescent="0.25">
      <c r="B1047" s="28"/>
      <c r="C1047" s="28"/>
      <c r="D1047" s="28"/>
    </row>
    <row r="1048" spans="2:4" ht="15.75" customHeight="1" x14ac:dyDescent="0.25">
      <c r="B1048" s="28"/>
      <c r="C1048" s="28"/>
      <c r="D1048" s="28"/>
    </row>
    <row r="1049" spans="2:4" ht="15.75" customHeight="1" x14ac:dyDescent="0.25">
      <c r="B1049" s="28"/>
      <c r="C1049" s="28"/>
      <c r="D1049" s="28"/>
    </row>
    <row r="1050" spans="2:4" ht="15.75" customHeight="1" x14ac:dyDescent="0.25">
      <c r="B1050" s="28"/>
      <c r="C1050" s="28"/>
      <c r="D1050" s="28"/>
    </row>
    <row r="1051" spans="2:4" ht="15.75" customHeight="1" x14ac:dyDescent="0.25">
      <c r="B1051" s="28"/>
      <c r="C1051" s="28"/>
      <c r="D1051" s="28"/>
    </row>
    <row r="1052" spans="2:4" ht="15.75" customHeight="1" x14ac:dyDescent="0.25">
      <c r="B1052" s="28"/>
      <c r="C1052" s="28"/>
      <c r="D1052" s="28"/>
    </row>
    <row r="1053" spans="2:4" ht="15.75" customHeight="1" x14ac:dyDescent="0.25">
      <c r="B1053" s="28"/>
      <c r="C1053" s="28"/>
      <c r="D1053" s="28"/>
    </row>
    <row r="1054" spans="2:4" ht="15.75" customHeight="1" x14ac:dyDescent="0.25">
      <c r="B1054" s="28"/>
      <c r="C1054" s="28"/>
      <c r="D1054" s="28"/>
    </row>
    <row r="1055" spans="2:4" ht="15.75" customHeight="1" x14ac:dyDescent="0.25">
      <c r="B1055" s="28"/>
      <c r="C1055" s="28"/>
      <c r="D1055" s="28"/>
    </row>
    <row r="1056" spans="2:4" ht="15.75" customHeight="1" x14ac:dyDescent="0.25">
      <c r="B1056" s="28"/>
      <c r="C1056" s="28"/>
      <c r="D1056" s="28"/>
    </row>
    <row r="1057" spans="2:4" ht="15.75" customHeight="1" x14ac:dyDescent="0.25">
      <c r="B1057" s="28"/>
      <c r="C1057" s="28"/>
      <c r="D1057" s="28"/>
    </row>
    <row r="1058" spans="2:4" ht="15.75" customHeight="1" x14ac:dyDescent="0.25">
      <c r="B1058" s="28"/>
      <c r="C1058" s="28"/>
      <c r="D1058" s="28"/>
    </row>
    <row r="1059" spans="2:4" ht="15.75" customHeight="1" x14ac:dyDescent="0.25">
      <c r="B1059" s="28"/>
      <c r="C1059" s="28"/>
      <c r="D1059" s="28"/>
    </row>
    <row r="1060" spans="2:4" ht="15.75" customHeight="1" x14ac:dyDescent="0.25">
      <c r="B1060" s="28"/>
      <c r="C1060" s="28"/>
      <c r="D1060" s="28"/>
    </row>
    <row r="1061" spans="2:4" ht="15.75" customHeight="1" x14ac:dyDescent="0.25">
      <c r="B1061" s="28"/>
      <c r="C1061" s="28"/>
      <c r="D1061" s="28"/>
    </row>
    <row r="1062" spans="2:4" ht="15.75" customHeight="1" x14ac:dyDescent="0.25">
      <c r="B1062" s="28"/>
      <c r="C1062" s="28"/>
      <c r="D1062" s="28"/>
    </row>
    <row r="1063" spans="2:4" ht="15.75" customHeight="1" x14ac:dyDescent="0.25">
      <c r="B1063" s="28"/>
      <c r="C1063" s="28"/>
      <c r="D1063" s="28"/>
    </row>
    <row r="1064" spans="2:4" ht="15.75" customHeight="1" x14ac:dyDescent="0.25">
      <c r="B1064" s="28"/>
      <c r="C1064" s="28"/>
      <c r="D1064" s="28"/>
    </row>
    <row r="1065" spans="2:4" ht="15.75" customHeight="1" x14ac:dyDescent="0.25">
      <c r="B1065" s="28"/>
      <c r="C1065" s="28"/>
      <c r="D1065" s="28"/>
    </row>
    <row r="1066" spans="2:4" ht="15.75" customHeight="1" x14ac:dyDescent="0.25">
      <c r="B1066" s="28"/>
      <c r="C1066" s="28"/>
      <c r="D1066" s="28"/>
    </row>
    <row r="1067" spans="2:4" ht="15.75" customHeight="1" x14ac:dyDescent="0.25">
      <c r="B1067" s="28"/>
      <c r="C1067" s="28"/>
      <c r="D1067" s="28"/>
    </row>
    <row r="1068" spans="2:4" ht="15.75" customHeight="1" x14ac:dyDescent="0.25">
      <c r="B1068" s="28"/>
      <c r="C1068" s="28"/>
      <c r="D1068" s="28"/>
    </row>
    <row r="1069" spans="2:4" ht="15.75" customHeight="1" x14ac:dyDescent="0.25">
      <c r="B1069" s="28"/>
      <c r="C1069" s="28"/>
      <c r="D1069" s="28"/>
    </row>
    <row r="1070" spans="2:4" ht="15.75" customHeight="1" x14ac:dyDescent="0.25">
      <c r="B1070" s="28"/>
      <c r="C1070" s="28"/>
      <c r="D1070" s="28"/>
    </row>
    <row r="1071" spans="2:4" ht="15.75" customHeight="1" x14ac:dyDescent="0.25">
      <c r="B1071" s="28"/>
      <c r="C1071" s="28"/>
      <c r="D1071" s="28"/>
    </row>
    <row r="1072" spans="2:4" ht="15.75" customHeight="1" x14ac:dyDescent="0.25">
      <c r="B1072" s="28"/>
      <c r="C1072" s="28"/>
      <c r="D1072" s="28"/>
    </row>
    <row r="1073" spans="2:4" ht="15.75" customHeight="1" x14ac:dyDescent="0.25">
      <c r="B1073" s="28"/>
      <c r="C1073" s="28"/>
      <c r="D1073" s="28"/>
    </row>
    <row r="1074" spans="2:4" ht="15.75" customHeight="1" x14ac:dyDescent="0.25">
      <c r="B1074" s="28"/>
      <c r="C1074" s="28"/>
      <c r="D1074" s="28"/>
    </row>
    <row r="1075" spans="2:4" ht="15.75" customHeight="1" x14ac:dyDescent="0.25">
      <c r="B1075" s="28"/>
      <c r="C1075" s="28"/>
      <c r="D1075" s="28"/>
    </row>
    <row r="1076" spans="2:4" ht="15.75" customHeight="1" x14ac:dyDescent="0.25">
      <c r="B1076" s="28"/>
      <c r="C1076" s="28"/>
      <c r="D1076" s="28"/>
    </row>
    <row r="1077" spans="2:4" ht="15.75" customHeight="1" x14ac:dyDescent="0.25">
      <c r="B1077" s="28"/>
      <c r="C1077" s="28"/>
      <c r="D1077" s="28"/>
    </row>
    <row r="1078" spans="2:4" ht="15.75" customHeight="1" x14ac:dyDescent="0.25">
      <c r="B1078" s="28"/>
      <c r="C1078" s="28"/>
      <c r="D1078" s="28"/>
    </row>
    <row r="1079" spans="2:4" ht="15.75" customHeight="1" x14ac:dyDescent="0.25">
      <c r="B1079" s="28"/>
      <c r="C1079" s="28"/>
      <c r="D1079" s="28"/>
    </row>
    <row r="1080" spans="2:4" ht="15.75" customHeight="1" x14ac:dyDescent="0.25">
      <c r="B1080" s="28"/>
      <c r="C1080" s="28"/>
      <c r="D1080" s="28"/>
    </row>
    <row r="1081" spans="2:4" ht="15.75" customHeight="1" x14ac:dyDescent="0.25">
      <c r="B1081" s="28"/>
      <c r="C1081" s="28"/>
      <c r="D1081" s="28"/>
    </row>
    <row r="1082" spans="2:4" ht="15.75" customHeight="1" x14ac:dyDescent="0.25">
      <c r="B1082" s="28"/>
      <c r="C1082" s="28"/>
      <c r="D1082" s="28"/>
    </row>
    <row r="1083" spans="2:4" ht="15.75" customHeight="1" x14ac:dyDescent="0.25">
      <c r="B1083" s="28"/>
      <c r="C1083" s="28"/>
      <c r="D1083" s="28"/>
    </row>
    <row r="1084" spans="2:4" ht="15.75" customHeight="1" x14ac:dyDescent="0.25">
      <c r="B1084" s="28"/>
      <c r="C1084" s="28"/>
      <c r="D1084" s="28"/>
    </row>
    <row r="1085" spans="2:4" ht="15.75" customHeight="1" x14ac:dyDescent="0.25">
      <c r="B1085" s="28"/>
      <c r="C1085" s="28"/>
      <c r="D1085" s="28"/>
    </row>
    <row r="1086" spans="2:4" ht="15.75" customHeight="1" x14ac:dyDescent="0.25">
      <c r="B1086" s="28"/>
      <c r="C1086" s="28"/>
      <c r="D1086" s="28"/>
    </row>
    <row r="1087" spans="2:4" ht="15.75" customHeight="1" x14ac:dyDescent="0.25">
      <c r="B1087" s="28"/>
      <c r="C1087" s="28"/>
      <c r="D1087" s="28"/>
    </row>
    <row r="1088" spans="2:4" ht="15.75" customHeight="1" x14ac:dyDescent="0.25">
      <c r="B1088" s="28"/>
      <c r="C1088" s="28"/>
      <c r="D1088" s="28"/>
    </row>
    <row r="1089" spans="2:4" ht="15.75" customHeight="1" x14ac:dyDescent="0.25">
      <c r="B1089" s="28"/>
      <c r="C1089" s="28"/>
      <c r="D1089" s="28"/>
    </row>
    <row r="1090" spans="2:4" ht="15.75" customHeight="1" x14ac:dyDescent="0.25">
      <c r="B1090" s="28"/>
      <c r="C1090" s="28"/>
      <c r="D1090" s="28"/>
    </row>
    <row r="1091" spans="2:4" ht="15.75" customHeight="1" x14ac:dyDescent="0.25">
      <c r="B1091" s="28"/>
      <c r="C1091" s="28"/>
      <c r="D1091" s="28"/>
    </row>
    <row r="1092" spans="2:4" ht="15.75" customHeight="1" x14ac:dyDescent="0.25">
      <c r="B1092" s="28"/>
      <c r="C1092" s="28"/>
      <c r="D1092" s="28"/>
    </row>
    <row r="1093" spans="2:4" ht="15.75" customHeight="1" x14ac:dyDescent="0.25">
      <c r="B1093" s="28"/>
      <c r="C1093" s="28"/>
      <c r="D1093" s="28"/>
    </row>
    <row r="1094" spans="2:4" ht="15.75" customHeight="1" x14ac:dyDescent="0.25">
      <c r="B1094" s="28"/>
      <c r="C1094" s="28"/>
      <c r="D1094" s="28"/>
    </row>
    <row r="1095" spans="2:4" ht="15.75" customHeight="1" x14ac:dyDescent="0.25">
      <c r="B1095" s="28"/>
      <c r="C1095" s="28"/>
      <c r="D1095" s="28"/>
    </row>
    <row r="1096" spans="2:4" ht="15.75" customHeight="1" x14ac:dyDescent="0.25">
      <c r="B1096" s="28"/>
      <c r="C1096" s="28"/>
      <c r="D1096" s="28"/>
    </row>
    <row r="1097" spans="2:4" ht="15.75" customHeight="1" x14ac:dyDescent="0.25">
      <c r="B1097" s="28"/>
      <c r="C1097" s="28"/>
      <c r="D1097" s="28"/>
    </row>
    <row r="1098" spans="2:4" ht="15.75" customHeight="1" x14ac:dyDescent="0.25">
      <c r="B1098" s="28"/>
      <c r="C1098" s="28"/>
      <c r="D1098" s="28"/>
    </row>
    <row r="1099" spans="2:4" ht="15.75" customHeight="1" x14ac:dyDescent="0.25">
      <c r="B1099" s="28"/>
      <c r="C1099" s="28"/>
      <c r="D1099" s="28"/>
    </row>
    <row r="1100" spans="2:4" ht="15.75" customHeight="1" x14ac:dyDescent="0.25">
      <c r="B1100" s="28"/>
      <c r="C1100" s="28"/>
      <c r="D1100" s="28"/>
    </row>
    <row r="1101" spans="2:4" ht="15.75" customHeight="1" x14ac:dyDescent="0.25">
      <c r="B1101" s="28"/>
      <c r="C1101" s="28"/>
      <c r="D1101" s="28"/>
    </row>
    <row r="1102" spans="2:4" ht="15.75" customHeight="1" x14ac:dyDescent="0.25">
      <c r="B1102" s="28"/>
      <c r="C1102" s="28"/>
      <c r="D1102" s="28"/>
    </row>
    <row r="1103" spans="2:4" ht="15.75" customHeight="1" x14ac:dyDescent="0.25">
      <c r="B1103" s="28"/>
      <c r="C1103" s="28"/>
      <c r="D1103" s="28"/>
    </row>
    <row r="1104" spans="2:4" ht="15.75" customHeight="1" x14ac:dyDescent="0.25">
      <c r="B1104" s="28"/>
      <c r="C1104" s="28"/>
      <c r="D1104" s="28"/>
    </row>
    <row r="1105" spans="2:4" ht="15.75" customHeight="1" x14ac:dyDescent="0.25">
      <c r="B1105" s="28"/>
      <c r="C1105" s="28"/>
      <c r="D1105" s="28"/>
    </row>
    <row r="1106" spans="2:4" ht="15.75" customHeight="1" x14ac:dyDescent="0.25">
      <c r="B1106" s="28"/>
      <c r="C1106" s="28"/>
      <c r="D1106" s="28"/>
    </row>
    <row r="1107" spans="2:4" ht="15.75" customHeight="1" x14ac:dyDescent="0.25">
      <c r="B1107" s="28"/>
      <c r="C1107" s="28"/>
      <c r="D1107" s="28"/>
    </row>
    <row r="1108" spans="2:4" ht="15.75" customHeight="1" x14ac:dyDescent="0.25">
      <c r="B1108" s="28"/>
      <c r="C1108" s="28"/>
      <c r="D1108" s="28"/>
    </row>
    <row r="1109" spans="2:4" ht="15.75" customHeight="1" x14ac:dyDescent="0.25">
      <c r="B1109" s="28"/>
      <c r="C1109" s="28"/>
      <c r="D1109" s="28"/>
    </row>
    <row r="1110" spans="2:4" ht="15.75" customHeight="1" x14ac:dyDescent="0.25">
      <c r="B1110" s="28"/>
      <c r="C1110" s="28"/>
      <c r="D1110" s="28"/>
    </row>
    <row r="1111" spans="2:4" ht="15.75" customHeight="1" x14ac:dyDescent="0.25">
      <c r="B1111" s="28"/>
      <c r="C1111" s="28"/>
      <c r="D1111" s="28"/>
    </row>
    <row r="1112" spans="2:4" ht="15.75" customHeight="1" x14ac:dyDescent="0.25">
      <c r="B1112" s="28"/>
      <c r="C1112" s="28"/>
      <c r="D1112" s="28"/>
    </row>
  </sheetData>
  <autoFilter ref="A1:M339"/>
  <phoneticPr fontId="32" type="noConversion"/>
  <conditionalFormatting sqref="K2:K492">
    <cfRule type="containsText" dxfId="1" priority="2" operator="containsText" text="FALSO">
      <formula>NOT(ISERROR(SEARCH("FALSO",K2)))</formula>
    </cfRule>
  </conditionalFormatting>
  <dataValidations count="1">
    <dataValidation type="list" allowBlank="1" showErrorMessage="1" sqref="A204:A205">
      <formula1>"ELECTRICIDAD,INSTRUMENTACIÓN,MECÁNICA,SCADA,GENERAL,LINO NAVA,SIXTO TORRES,N/A"</formula1>
    </dataValidation>
  </dataValidations>
  <hyperlinks>
    <hyperlink ref="F1" r:id="rId1"/>
    <hyperlink ref="F2" r:id="rId2"/>
    <hyperlink ref="F3" r:id="rId3"/>
    <hyperlink ref="F4" r:id="rId4"/>
    <hyperlink ref="F5" r:id="rId5"/>
    <hyperlink ref="F6" r:id="rId6"/>
    <hyperlink ref="F7" r:id="rId7"/>
    <hyperlink ref="F8" r:id="rId8"/>
    <hyperlink ref="F11" r:id="rId9"/>
    <hyperlink ref="F10" r:id="rId10"/>
    <hyperlink ref="F12" r:id="rId11"/>
    <hyperlink ref="F13" r:id="rId12"/>
    <hyperlink ref="F14" r:id="rId13"/>
    <hyperlink ref="F16" r:id="rId14"/>
    <hyperlink ref="F17" r:id="rId15"/>
    <hyperlink ref="F18" r:id="rId16"/>
    <hyperlink ref="F19" r:id="rId17"/>
    <hyperlink ref="F21" r:id="rId18"/>
    <hyperlink ref="F22" r:id="rId19"/>
    <hyperlink ref="F23" r:id="rId20"/>
    <hyperlink ref="F24" r:id="rId21"/>
    <hyperlink ref="F25" r:id="rId22"/>
    <hyperlink ref="F9" r:id="rId23"/>
    <hyperlink ref="F30" r:id="rId24"/>
    <hyperlink ref="F31" r:id="rId25"/>
    <hyperlink ref="F32" r:id="rId26"/>
    <hyperlink ref="F33" r:id="rId27"/>
    <hyperlink ref="F34" r:id="rId28"/>
    <hyperlink ref="F36" r:id="rId29"/>
    <hyperlink ref="F38" r:id="rId30"/>
    <hyperlink ref="F40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50" r:id="rId39"/>
    <hyperlink ref="F53" r:id="rId40"/>
    <hyperlink ref="F59" r:id="rId41"/>
    <hyperlink ref="F60" r:id="rId42"/>
    <hyperlink ref="F61" r:id="rId43"/>
    <hyperlink ref="F62" r:id="rId44"/>
    <hyperlink ref="F63" r:id="rId45"/>
    <hyperlink ref="F64" r:id="rId46"/>
    <hyperlink ref="F65" r:id="rId47"/>
    <hyperlink ref="F66" r:id="rId48"/>
    <hyperlink ref="F67" r:id="rId49"/>
    <hyperlink ref="F68" r:id="rId50"/>
    <hyperlink ref="F69" r:id="rId51"/>
    <hyperlink ref="F71" r:id="rId52"/>
    <hyperlink ref="F72" r:id="rId53"/>
    <hyperlink ref="F73" r:id="rId54"/>
    <hyperlink ref="F74" r:id="rId55"/>
    <hyperlink ref="F75" r:id="rId56"/>
    <hyperlink ref="F76" r:id="rId57"/>
    <hyperlink ref="F77" r:id="rId58"/>
    <hyperlink ref="F78" r:id="rId59"/>
    <hyperlink ref="F79" r:id="rId60"/>
    <hyperlink ref="F80" r:id="rId61"/>
    <hyperlink ref="F81" r:id="rId62"/>
    <hyperlink ref="F82" r:id="rId63"/>
    <hyperlink ref="F83" r:id="rId64"/>
    <hyperlink ref="F99" r:id="rId65"/>
    <hyperlink ref="F96" r:id="rId66"/>
    <hyperlink ref="F86" r:id="rId67"/>
    <hyperlink ref="F87" r:id="rId68"/>
    <hyperlink ref="F88" r:id="rId69"/>
    <hyperlink ref="F89" r:id="rId70"/>
    <hyperlink ref="F90" r:id="rId71"/>
    <hyperlink ref="F91" r:id="rId72"/>
    <hyperlink ref="F93" r:id="rId73"/>
    <hyperlink ref="C94" r:id="rId74"/>
    <hyperlink ref="F94" r:id="rId75"/>
    <hyperlink ref="C95" r:id="rId76"/>
    <hyperlink ref="F95" r:id="rId77"/>
    <hyperlink ref="F100" r:id="rId78"/>
    <hyperlink ref="F101" r:id="rId79"/>
    <hyperlink ref="F102" r:id="rId80"/>
    <hyperlink ref="F103" r:id="rId81"/>
    <hyperlink ref="F104" r:id="rId82"/>
    <hyperlink ref="F118" r:id="rId83"/>
    <hyperlink ref="F119" r:id="rId84"/>
    <hyperlink ref="F120" r:id="rId85"/>
    <hyperlink ref="F121" r:id="rId86"/>
    <hyperlink ref="F122" r:id="rId87"/>
    <hyperlink ref="F123" r:id="rId88"/>
    <hyperlink ref="F124" r:id="rId89"/>
    <hyperlink ref="F125" r:id="rId90"/>
    <hyperlink ref="F126" r:id="rId91"/>
    <hyperlink ref="F127" r:id="rId92"/>
    <hyperlink ref="F128" r:id="rId93"/>
    <hyperlink ref="F129" r:id="rId94"/>
    <hyperlink ref="F130" r:id="rId95"/>
    <hyperlink ref="F131" r:id="rId96"/>
    <hyperlink ref="F132" r:id="rId97"/>
    <hyperlink ref="F133" r:id="rId98"/>
    <hyperlink ref="F134" r:id="rId99"/>
    <hyperlink ref="F135" r:id="rId100"/>
    <hyperlink ref="F136" r:id="rId101"/>
    <hyperlink ref="F137" r:id="rId102"/>
    <hyperlink ref="F138" r:id="rId103"/>
    <hyperlink ref="F139" r:id="rId104"/>
    <hyperlink ref="F140" r:id="rId105"/>
    <hyperlink ref="F141" r:id="rId106"/>
    <hyperlink ref="F142" r:id="rId107"/>
    <hyperlink ref="F143" r:id="rId108"/>
    <hyperlink ref="F144" r:id="rId109"/>
    <hyperlink ref="F145" r:id="rId110"/>
    <hyperlink ref="F206" r:id="rId111"/>
    <hyperlink ref="F207" r:id="rId112"/>
    <hyperlink ref="F209" r:id="rId113"/>
    <hyperlink ref="F212" r:id="rId114"/>
    <hyperlink ref="F213" r:id="rId115"/>
    <hyperlink ref="F215" r:id="rId116"/>
    <hyperlink ref="F216" r:id="rId117"/>
    <hyperlink ref="F217" r:id="rId118"/>
    <hyperlink ref="F218" r:id="rId119"/>
    <hyperlink ref="F219" r:id="rId120"/>
    <hyperlink ref="F220" r:id="rId121"/>
    <hyperlink ref="F222" r:id="rId122"/>
    <hyperlink ref="F223" r:id="rId123"/>
    <hyperlink ref="F224" r:id="rId124"/>
    <hyperlink ref="F225" r:id="rId125"/>
    <hyperlink ref="F226" r:id="rId126"/>
    <hyperlink ref="F227" r:id="rId127"/>
    <hyperlink ref="F240" r:id="rId128"/>
    <hyperlink ref="F221" r:id="rId129"/>
    <hyperlink ref="F241" r:id="rId130"/>
    <hyperlink ref="F242" r:id="rId131"/>
    <hyperlink ref="F247" r:id="rId132"/>
    <hyperlink ref="F248" r:id="rId133"/>
    <hyperlink ref="F260" r:id="rId134"/>
    <hyperlink ref="F249" r:id="rId135"/>
    <hyperlink ref="F250" r:id="rId136"/>
    <hyperlink ref="F252" r:id="rId137"/>
    <hyperlink ref="F255" r:id="rId138"/>
    <hyperlink ref="F256" r:id="rId139"/>
    <hyperlink ref="F276" r:id="rId140"/>
    <hyperlink ref="F278" r:id="rId141"/>
    <hyperlink ref="F277" r:id="rId142"/>
    <hyperlink ref="F257" r:id="rId143"/>
    <hyperlink ref="F259" r:id="rId144"/>
    <hyperlink ref="F286" r:id="rId145"/>
    <hyperlink ref="F284" r:id="rId146"/>
    <hyperlink ref="F288" r:id="rId147"/>
    <hyperlink ref="F283" r:id="rId148"/>
    <hyperlink ref="F291" r:id="rId149"/>
    <hyperlink ref="F289" r:id="rId150"/>
    <hyperlink ref="F297" r:id="rId151"/>
    <hyperlink ref="F298" r:id="rId152"/>
    <hyperlink ref="F307" r:id="rId153"/>
    <hyperlink ref="F309" r:id="rId154"/>
    <hyperlink ref="F304" r:id="rId155"/>
    <hyperlink ref="F305" r:id="rId156"/>
    <hyperlink ref="F306" r:id="rId157"/>
    <hyperlink ref="F308" r:id="rId158"/>
    <hyperlink ref="F299" r:id="rId159"/>
    <hyperlink ref="F300" r:id="rId160"/>
    <hyperlink ref="F301" r:id="rId161"/>
    <hyperlink ref="F302" r:id="rId162"/>
    <hyperlink ref="F303" r:id="rId163"/>
    <hyperlink ref="F339" r:id="rId164"/>
    <hyperlink ref="F312" r:id="rId165"/>
    <hyperlink ref="F313" r:id="rId166"/>
    <hyperlink ref="F314" r:id="rId167"/>
    <hyperlink ref="F320" r:id="rId168"/>
    <hyperlink ref="F321" r:id="rId169"/>
    <hyperlink ref="F317" r:id="rId170"/>
    <hyperlink ref="F318" r:id="rId171"/>
    <hyperlink ref="F319" r:id="rId172"/>
    <hyperlink ref="F316" r:id="rId173"/>
    <hyperlink ref="F322" r:id="rId174"/>
    <hyperlink ref="F323" r:id="rId175"/>
    <hyperlink ref="F324" r:id="rId176"/>
    <hyperlink ref="F328" r:id="rId177"/>
    <hyperlink ref="F330" r:id="rId178"/>
    <hyperlink ref="F332" r:id="rId179"/>
    <hyperlink ref="F335" r:id="rId180"/>
    <hyperlink ref="F334" r:id="rId181"/>
    <hyperlink ref="F337" r:id="rId182"/>
    <hyperlink ref="F338" r:id="rId183"/>
    <hyperlink ref="F265" r:id="rId184"/>
    <hyperlink ref="F264" r:id="rId185"/>
    <hyperlink ref="F311" r:id="rId186"/>
    <hyperlink ref="F310" r:id="rId187"/>
    <hyperlink ref="F336" r:id="rId188"/>
    <hyperlink ref="F261" r:id="rId189"/>
    <hyperlink ref="F262" r:id="rId190"/>
    <hyperlink ref="F263" r:id="rId191"/>
    <hyperlink ref="F84" r:id="rId192"/>
    <hyperlink ref="F266" r:id="rId193"/>
    <hyperlink ref="F267" r:id="rId194"/>
    <hyperlink ref="F114" r:id="rId195"/>
    <hyperlink ref="F105" r:id="rId196"/>
    <hyperlink ref="F117" r:id="rId197"/>
    <hyperlink ref="F70" r:id="rId198"/>
    <hyperlink ref="F54" r:id="rId199"/>
    <hyperlink ref="F55" r:id="rId200"/>
    <hyperlink ref="F56" r:id="rId201"/>
    <hyperlink ref="F253" r:id="rId202"/>
    <hyperlink ref="F254" r:id="rId203"/>
    <hyperlink ref="F268" r:id="rId204"/>
    <hyperlink ref="F269" r:id="rId205"/>
    <hyperlink ref="F243" r:id="rId206"/>
    <hyperlink ref="F244" r:id="rId207"/>
    <hyperlink ref="F245" r:id="rId208"/>
    <hyperlink ref="F246" r:id="rId209"/>
    <hyperlink ref="F41" r:id="rId210"/>
    <hyperlink ref="F270" r:id="rId211"/>
    <hyperlink ref="F15" r:id="rId212"/>
    <hyperlink ref="F58" r:id="rId213"/>
    <hyperlink ref="F57" r:id="rId214"/>
    <hyperlink ref="F251" r:id="rId215"/>
    <hyperlink ref="F35" r:id="rId216"/>
    <hyperlink ref="F37" r:id="rId217"/>
    <hyperlink ref="F39" r:id="rId218"/>
    <hyperlink ref="C36" r:id="rId219"/>
    <hyperlink ref="F146" r:id="rId220"/>
    <hyperlink ref="F147" r:id="rId221"/>
    <hyperlink ref="F148" r:id="rId222"/>
    <hyperlink ref="F149" r:id="rId223"/>
    <hyperlink ref="F150" r:id="rId224"/>
    <hyperlink ref="F151" r:id="rId225"/>
    <hyperlink ref="F152" r:id="rId226"/>
    <hyperlink ref="F153" r:id="rId227"/>
    <hyperlink ref="F154" r:id="rId228"/>
    <hyperlink ref="F155" r:id="rId229"/>
    <hyperlink ref="F156" r:id="rId230"/>
    <hyperlink ref="F157" r:id="rId231"/>
    <hyperlink ref="F158" r:id="rId232"/>
    <hyperlink ref="F159" r:id="rId233"/>
    <hyperlink ref="F160" r:id="rId234"/>
    <hyperlink ref="F161" r:id="rId235"/>
    <hyperlink ref="F162" r:id="rId236"/>
    <hyperlink ref="F163" r:id="rId237"/>
    <hyperlink ref="F164" r:id="rId238"/>
    <hyperlink ref="F165" r:id="rId239"/>
    <hyperlink ref="F166" r:id="rId240"/>
    <hyperlink ref="F167" r:id="rId241"/>
    <hyperlink ref="F168" r:id="rId242"/>
    <hyperlink ref="F169" r:id="rId243"/>
    <hyperlink ref="F170" r:id="rId244"/>
    <hyperlink ref="F171" r:id="rId245"/>
    <hyperlink ref="F172" r:id="rId246"/>
    <hyperlink ref="F173" r:id="rId247"/>
    <hyperlink ref="F174" r:id="rId248"/>
    <hyperlink ref="F175" r:id="rId249"/>
    <hyperlink ref="F176" r:id="rId250"/>
    <hyperlink ref="F177" r:id="rId251"/>
    <hyperlink ref="F178" r:id="rId252"/>
    <hyperlink ref="F179" r:id="rId253"/>
    <hyperlink ref="F180" r:id="rId254"/>
    <hyperlink ref="F181" r:id="rId255"/>
    <hyperlink ref="F182" r:id="rId256"/>
    <hyperlink ref="F183" r:id="rId257"/>
    <hyperlink ref="F184" r:id="rId258"/>
    <hyperlink ref="F185" r:id="rId259"/>
    <hyperlink ref="F186" r:id="rId260"/>
    <hyperlink ref="F187" r:id="rId261"/>
    <hyperlink ref="F188" r:id="rId262"/>
    <hyperlink ref="F189" r:id="rId263"/>
    <hyperlink ref="F190" r:id="rId264"/>
    <hyperlink ref="F191" r:id="rId265"/>
    <hyperlink ref="F192" r:id="rId266"/>
    <hyperlink ref="F193" r:id="rId267"/>
    <hyperlink ref="F194" r:id="rId268"/>
    <hyperlink ref="F195" r:id="rId269"/>
    <hyperlink ref="F196" r:id="rId270"/>
    <hyperlink ref="F197" r:id="rId271"/>
    <hyperlink ref="F198" r:id="rId272"/>
    <hyperlink ref="F199" r:id="rId273"/>
    <hyperlink ref="F200" r:id="rId274"/>
    <hyperlink ref="F201" r:id="rId275"/>
    <hyperlink ref="F202" r:id="rId276"/>
    <hyperlink ref="F203" r:id="rId277"/>
    <hyperlink ref="F325" r:id="rId278"/>
    <hyperlink ref="F211" r:id="rId279"/>
    <hyperlink ref="C327" r:id="rId280"/>
    <hyperlink ref="F327" r:id="rId281"/>
    <hyperlink ref="F333" r:id="rId282"/>
    <hyperlink ref="C228" r:id="rId283"/>
    <hyperlink ref="C229" r:id="rId284"/>
    <hyperlink ref="F228" r:id="rId285"/>
    <hyperlink ref="F229" r:id="rId286"/>
    <hyperlink ref="C9" r:id="rId287" display="BOMBA PARA PRUEBA HIDRAULICA"/>
    <hyperlink ref="C10" r:id="rId288"/>
    <hyperlink ref="F20" r:id="rId289"/>
    <hyperlink ref="F85" r:id="rId290"/>
    <hyperlink ref="F271" r:id="rId291"/>
    <hyperlink ref="C278" r:id="rId292"/>
    <hyperlink ref="F279" r:id="rId293"/>
    <hyperlink ref="C291" r:id="rId294" display="GRILLETES"/>
    <hyperlink ref="F258" r:id="rId295"/>
    <hyperlink ref="F282" r:id="rId296"/>
    <hyperlink ref="F285" r:id="rId297"/>
    <hyperlink ref="F287" r:id="rId298"/>
    <hyperlink ref="F290" r:id="rId299"/>
    <hyperlink ref="F315" r:id="rId300"/>
    <hyperlink ref="F52" r:id="rId301"/>
    <hyperlink ref="F214" r:id="rId302"/>
    <hyperlink ref="F106" r:id="rId303"/>
    <hyperlink ref="F107" r:id="rId304"/>
    <hyperlink ref="F108" r:id="rId305"/>
    <hyperlink ref="F109" r:id="rId306"/>
    <hyperlink ref="F110" r:id="rId307"/>
    <hyperlink ref="F115" r:id="rId308"/>
    <hyperlink ref="F116" r:id="rId309"/>
    <hyperlink ref="F26" r:id="rId310"/>
    <hyperlink ref="F27" r:id="rId311"/>
    <hyperlink ref="F28" r:id="rId312"/>
    <hyperlink ref="C93" r:id="rId313"/>
    <hyperlink ref="F92" r:id="rId314"/>
    <hyperlink ref="F230" r:id="rId315"/>
    <hyperlink ref="C207" r:id="rId316" display="APAREJOS DE IZAMIENTO (CANCAMOS)_x000a_BG-1"/>
    <hyperlink ref="C209" r:id="rId317" display="APAREJOS DE IZAMIENTO (CANCAMOS)_x000a_BG-2"/>
    <hyperlink ref="F208" r:id="rId318"/>
    <hyperlink ref="F210" r:id="rId319"/>
    <hyperlink ref="F231" r:id="rId320"/>
    <hyperlink ref="F272" r:id="rId321"/>
    <hyperlink ref="F273" r:id="rId322"/>
    <hyperlink ref="F274" r:id="rId323"/>
    <hyperlink ref="F275" r:id="rId324"/>
    <hyperlink ref="F329" r:id="rId325"/>
    <hyperlink ref="F280" r:id="rId326"/>
    <hyperlink ref="F292" r:id="rId327"/>
    <hyperlink ref="F293" r:id="rId328"/>
    <hyperlink ref="F29" r:id="rId329"/>
    <hyperlink ref="F281" r:id="rId330"/>
    <hyperlink ref="F294" r:id="rId331"/>
    <hyperlink ref="F295" r:id="rId332"/>
    <hyperlink ref="F331" r:id="rId333" location=" 04170600664 SML-409.pdf"/>
    <hyperlink ref="F326" r:id="rId334"/>
    <hyperlink ref="F51" r:id="rId335"/>
    <hyperlink ref="C232" r:id="rId336"/>
    <hyperlink ref="C233" r:id="rId337"/>
    <hyperlink ref="C234" r:id="rId338"/>
    <hyperlink ref="C235" r:id="rId339"/>
    <hyperlink ref="C236" r:id="rId340"/>
    <hyperlink ref="C237" r:id="rId341"/>
    <hyperlink ref="C238" r:id="rId342"/>
    <hyperlink ref="C239" r:id="rId343"/>
    <hyperlink ref="F232" r:id="rId344"/>
    <hyperlink ref="F233" r:id="rId345"/>
    <hyperlink ref="F234" r:id="rId346"/>
    <hyperlink ref="F235" r:id="rId347"/>
    <hyperlink ref="F236" r:id="rId348"/>
    <hyperlink ref="F237" r:id="rId349"/>
    <hyperlink ref="F238" r:id="rId350"/>
    <hyperlink ref="F239" r:id="rId351"/>
    <hyperlink ref="F97" r:id="rId352"/>
    <hyperlink ref="F98" r:id="rId353"/>
    <hyperlink ref="F296" r:id="rId354" location=" CE-1.pdf"/>
    <hyperlink ref="C49" r:id="rId355" display="MANOMETRO 0-3000 PSI"/>
    <hyperlink ref="F49" r:id="rId356"/>
    <hyperlink ref="F112" r:id="rId357"/>
    <hyperlink ref="F111" r:id="rId358"/>
    <hyperlink ref="F113" r:id="rId359"/>
    <hyperlink ref="C204" r:id="rId360"/>
    <hyperlink ref="C205" r:id="rId361"/>
    <hyperlink ref="F204" r:id="rId362"/>
    <hyperlink ref="F205" r:id="rId363"/>
  </hyperlinks>
  <pageMargins left="0.7" right="0.7" top="0.75" bottom="0.75" header="0" footer="0"/>
  <pageSetup orientation="landscape" r:id="rId36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REGISTRO</vt:lpstr>
      <vt:lpstr>ARNES-CABO DE VIDA</vt:lpstr>
      <vt:lpstr>Hoja1</vt:lpstr>
      <vt:lpstr>'ARNES-CABO DE VIDA'!Print_Area</vt:lpstr>
      <vt:lpstr>REGISTRO!Print_Area</vt:lpstr>
      <vt:lpstr>'ARNES-CABO DE VIDA'!Print_Titles</vt:lpstr>
      <vt:lpstr>REGISTRO!Print_Titles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Gestión de la Calidad</dc:creator>
  <cp:lastModifiedBy>home-it</cp:lastModifiedBy>
  <cp:lastPrinted>2026-06-02T18:33:25Z</cp:lastPrinted>
  <dcterms:created xsi:type="dcterms:W3CDTF">2008-05-16T16:21:18Z</dcterms:created>
  <dcterms:modified xsi:type="dcterms:W3CDTF">2026-07-21T15:18:39Z</dcterms:modified>
</cp:coreProperties>
</file>