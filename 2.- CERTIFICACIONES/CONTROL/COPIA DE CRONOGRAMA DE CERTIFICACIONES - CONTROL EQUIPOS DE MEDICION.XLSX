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Mi unidad\SAMFOR\CALIDAD\2.- CERTIFICACIONES\CONTROL\"/>
    </mc:Choice>
  </mc:AlternateContent>
  <xr:revisionPtr revIDLastSave="0" documentId="13_ncr:1_{597EF774-14DD-49D0-8CFA-C97CE20E55BF}" xr6:coauthVersionLast="45" xr6:coauthVersionMax="45" xr10:uidLastSave="{00000000-0000-0000-0000-000000000000}"/>
  <bookViews>
    <workbookView xWindow="-120" yWindow="-120" windowWidth="20730" windowHeight="11040" tabRatio="498" activeTab="1" xr2:uid="{00000000-000D-0000-FFFF-FFFF00000000}"/>
  </bookViews>
  <sheets>
    <sheet name=" EQUIPOS " sheetId="4" r:id="rId1"/>
    <sheet name="HERRAMIENTAS" sheetId="3" r:id="rId2"/>
    <sheet name=" MAQUINARIA PESADA" sheetId="5" r:id="rId3"/>
    <sheet name=" EXTINTORES" sheetId="6" r:id="rId4"/>
    <sheet name="Certificado vencido" sheetId="8" r:id="rId5"/>
    <sheet name=" por certificar junio" sheetId="7" r:id="rId6"/>
  </sheets>
  <definedNames>
    <definedName name="_xlnm._FilterDatabase" localSheetId="0" hidden="1">' EQUIPOS '!$A$6:$O$84</definedName>
    <definedName name="_xlnm._FilterDatabase" localSheetId="3" hidden="1">' EXTINTORES'!$A$6:$K$69</definedName>
    <definedName name="_xlnm._FilterDatabase" localSheetId="2" hidden="1">' MAQUINARIA PESADA'!$A$6:$O$65</definedName>
    <definedName name="_xlnm._FilterDatabase" localSheetId="1" hidden="1">HERRAMIENTAS!$A$6:$O$80</definedName>
    <definedName name="_xlnm.Print_Area" localSheetId="0">' EQUIPOS '!$A$6:$M$81</definedName>
    <definedName name="_xlnm.Print_Area" localSheetId="3">' EXTINTORES'!$A$1:$K$37</definedName>
    <definedName name="_xlnm.Print_Area" localSheetId="2">' MAQUINARIA PESADA'!$A$1:$L$33</definedName>
    <definedName name="_xlnm.Print_Area" localSheetId="5">' por certificar junio'!$A$6:$L$46</definedName>
    <definedName name="_xlnm.Print_Area" localSheetId="4">'Certificado vencido'!$A$6:$L$69</definedName>
    <definedName name="_xlnm.Print_Area" localSheetId="1">HERRAMIENTAS!$A$1:$L$46</definedName>
    <definedName name="_xlnm.Print_Titles" localSheetId="0">' EQUIPOS '!$1:$6</definedName>
    <definedName name="_xlnm.Print_Titles" localSheetId="3">' EXTINTORES'!$1:$6</definedName>
    <definedName name="_xlnm.Print_Titles" localSheetId="2">' MAQUINARIA PESADA'!$1:$6</definedName>
    <definedName name="_xlnm.Print_Titles" localSheetId="5">' por certificar junio'!$1:$6</definedName>
    <definedName name="_xlnm.Print_Titles" localSheetId="4">'Certificado vencido'!$1:$6</definedName>
    <definedName name="_xlnm.Print_Titles" localSheetId="1">HERRAMIENTAS!$1:$6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5" i="8" l="1"/>
  <c r="L71" i="8" s="1"/>
  <c r="L5" i="7"/>
  <c r="L49" i="7" s="1"/>
  <c r="L5" i="6"/>
  <c r="L69" i="6" s="1"/>
  <c r="M5" i="5"/>
  <c r="M64" i="5" s="1"/>
  <c r="M5" i="4"/>
  <c r="M82" i="4" s="1"/>
  <c r="M5" i="3"/>
  <c r="M71" i="3" l="1"/>
  <c r="M37" i="3"/>
  <c r="M20" i="5"/>
  <c r="M34" i="3"/>
  <c r="L8" i="6"/>
  <c r="M28" i="3"/>
  <c r="M25" i="3"/>
  <c r="M33" i="3"/>
  <c r="M19" i="3"/>
  <c r="L11" i="7"/>
  <c r="M9" i="3"/>
  <c r="M43" i="4"/>
  <c r="M42" i="4"/>
  <c r="M41" i="4"/>
  <c r="M10" i="4"/>
  <c r="M58" i="4"/>
  <c r="M50" i="4"/>
  <c r="M59" i="4"/>
  <c r="M55" i="4"/>
  <c r="M47" i="4"/>
  <c r="M57" i="4"/>
  <c r="M49" i="4"/>
  <c r="M56" i="4"/>
  <c r="M54" i="4"/>
  <c r="M46" i="4"/>
  <c r="M51" i="4"/>
  <c r="M48" i="4"/>
  <c r="M62" i="4"/>
  <c r="M61" i="4"/>
  <c r="M53" i="4"/>
  <c r="M45" i="4"/>
  <c r="M60" i="4"/>
  <c r="M52" i="4"/>
  <c r="M44" i="4"/>
  <c r="M13" i="3"/>
  <c r="L56" i="6"/>
  <c r="L42" i="6"/>
  <c r="L41" i="6"/>
  <c r="L53" i="6"/>
  <c r="L40" i="6"/>
  <c r="L64" i="6"/>
  <c r="L50" i="6"/>
  <c r="L63" i="6"/>
  <c r="L49" i="6"/>
  <c r="L55" i="6"/>
  <c r="L61" i="6"/>
  <c r="L48" i="6"/>
  <c r="L58" i="6"/>
  <c r="L47" i="6"/>
  <c r="L57" i="6"/>
  <c r="L45" i="6"/>
  <c r="L62" i="6"/>
  <c r="L54" i="6"/>
  <c r="L46" i="6"/>
  <c r="L60" i="6"/>
  <c r="L52" i="6"/>
  <c r="L44" i="6"/>
  <c r="L59" i="6"/>
  <c r="L51" i="6"/>
  <c r="L43" i="6"/>
  <c r="L16" i="6"/>
  <c r="L15" i="6"/>
  <c r="L12" i="6"/>
  <c r="L13" i="6"/>
  <c r="L19" i="6"/>
  <c r="L11" i="6"/>
  <c r="L14" i="6"/>
  <c r="L18" i="6"/>
  <c r="L10" i="6"/>
  <c r="L17" i="6"/>
  <c r="L9" i="6"/>
  <c r="M23" i="5"/>
  <c r="M9" i="5"/>
  <c r="M15" i="3"/>
  <c r="M23" i="3"/>
  <c r="M22" i="3"/>
  <c r="M21" i="3"/>
  <c r="M24" i="3"/>
  <c r="M17" i="3"/>
  <c r="M11" i="5"/>
  <c r="M12" i="5"/>
  <c r="M13" i="5"/>
  <c r="M28" i="4"/>
  <c r="M76" i="4"/>
  <c r="M18" i="4"/>
  <c r="M29" i="3"/>
  <c r="M30" i="3"/>
  <c r="M18" i="3"/>
  <c r="M67" i="4"/>
  <c r="M80" i="4"/>
  <c r="M79" i="4"/>
  <c r="M78" i="4"/>
  <c r="M12" i="3"/>
  <c r="M12" i="4"/>
  <c r="M36" i="4"/>
  <c r="M66" i="4"/>
  <c r="M65" i="4"/>
  <c r="M27" i="3"/>
  <c r="L18" i="8"/>
  <c r="L16" i="8"/>
  <c r="L17" i="8"/>
  <c r="L9" i="7"/>
  <c r="L15" i="8"/>
  <c r="L14" i="8"/>
  <c r="L12" i="8"/>
  <c r="L13" i="8"/>
  <c r="L8" i="8"/>
  <c r="L9" i="8"/>
  <c r="L10" i="8"/>
  <c r="L11" i="8"/>
  <c r="L54" i="8"/>
  <c r="L38" i="8"/>
  <c r="L57" i="8"/>
  <c r="L32" i="8"/>
  <c r="L33" i="8"/>
  <c r="L56" i="8"/>
  <c r="L41" i="8"/>
  <c r="L64" i="8"/>
  <c r="L46" i="8"/>
  <c r="L65" i="8"/>
  <c r="L48" i="8"/>
  <c r="L70" i="8"/>
  <c r="L40" i="8"/>
  <c r="L62" i="8"/>
  <c r="L30" i="8"/>
  <c r="L49" i="8"/>
  <c r="L72" i="8"/>
  <c r="L34" i="8"/>
  <c r="L42" i="8"/>
  <c r="L50" i="8"/>
  <c r="L58" i="8"/>
  <c r="L66" i="8"/>
  <c r="L35" i="8"/>
  <c r="L43" i="8"/>
  <c r="L51" i="8"/>
  <c r="L59" i="8"/>
  <c r="L67" i="8"/>
  <c r="L36" i="8"/>
  <c r="L44" i="8"/>
  <c r="L52" i="8"/>
  <c r="L60" i="8"/>
  <c r="L68" i="8"/>
  <c r="L29" i="8"/>
  <c r="L37" i="8"/>
  <c r="L45" i="8"/>
  <c r="L53" i="8"/>
  <c r="L61" i="8"/>
  <c r="L69" i="8"/>
  <c r="L31" i="8"/>
  <c r="L39" i="8"/>
  <c r="L47" i="8"/>
  <c r="L55" i="8"/>
  <c r="L63" i="8"/>
  <c r="L45" i="7"/>
  <c r="L21" i="7"/>
  <c r="L18" i="7"/>
  <c r="L26" i="7"/>
  <c r="L34" i="7"/>
  <c r="L42" i="7"/>
  <c r="L19" i="7"/>
  <c r="L27" i="7"/>
  <c r="L35" i="7"/>
  <c r="L43" i="7"/>
  <c r="L20" i="7"/>
  <c r="L28" i="7"/>
  <c r="L36" i="7"/>
  <c r="L44" i="7"/>
  <c r="L22" i="7"/>
  <c r="L30" i="7"/>
  <c r="L38" i="7"/>
  <c r="L46" i="7"/>
  <c r="L23" i="7"/>
  <c r="L31" i="7"/>
  <c r="L39" i="7"/>
  <c r="L47" i="7"/>
  <c r="L29" i="7"/>
  <c r="L24" i="7"/>
  <c r="L32" i="7"/>
  <c r="L40" i="7"/>
  <c r="L48" i="7"/>
  <c r="L37" i="7"/>
  <c r="L17" i="7"/>
  <c r="L25" i="7"/>
  <c r="L33" i="7"/>
  <c r="L41" i="7"/>
  <c r="M26" i="3"/>
  <c r="M20" i="3"/>
  <c r="M75" i="4"/>
  <c r="M77" i="4"/>
  <c r="M33" i="4"/>
  <c r="M32" i="4"/>
  <c r="M26" i="4"/>
  <c r="M24" i="4"/>
  <c r="M27" i="4"/>
  <c r="M37" i="4"/>
  <c r="M22" i="4"/>
  <c r="M11" i="4"/>
  <c r="L23" i="6"/>
  <c r="L30" i="6"/>
  <c r="L27" i="6"/>
  <c r="L32" i="6"/>
  <c r="L65" i="6"/>
  <c r="L24" i="6"/>
  <c r="L33" i="6"/>
  <c r="L66" i="6"/>
  <c r="L25" i="6"/>
  <c r="L34" i="6"/>
  <c r="L36" i="6"/>
  <c r="L67" i="6"/>
  <c r="L22" i="6"/>
  <c r="L29" i="6"/>
  <c r="L39" i="6"/>
  <c r="L31" i="6"/>
  <c r="L20" i="6"/>
  <c r="L26" i="6"/>
  <c r="L37" i="6"/>
  <c r="L35" i="6"/>
  <c r="L68" i="6"/>
  <c r="L21" i="6"/>
  <c r="L28" i="6"/>
  <c r="L38" i="6"/>
  <c r="M33" i="5"/>
  <c r="M41" i="5"/>
  <c r="M65" i="5"/>
  <c r="M15" i="5"/>
  <c r="M25" i="5"/>
  <c r="M49" i="5"/>
  <c r="M16" i="5"/>
  <c r="M34" i="5"/>
  <c r="M50" i="5"/>
  <c r="M17" i="5"/>
  <c r="M27" i="5"/>
  <c r="M43" i="5"/>
  <c r="M51" i="5"/>
  <c r="M59" i="5"/>
  <c r="M18" i="5"/>
  <c r="M28" i="5"/>
  <c r="M36" i="5"/>
  <c r="M44" i="5"/>
  <c r="M52" i="5"/>
  <c r="M60" i="5"/>
  <c r="M19" i="5"/>
  <c r="M29" i="5"/>
  <c r="M37" i="5"/>
  <c r="M45" i="5"/>
  <c r="M53" i="5"/>
  <c r="M61" i="5"/>
  <c r="M57" i="5"/>
  <c r="M26" i="5"/>
  <c r="M42" i="5"/>
  <c r="M58" i="5"/>
  <c r="M35" i="5"/>
  <c r="M21" i="5"/>
  <c r="M38" i="5"/>
  <c r="M54" i="5"/>
  <c r="M62" i="5"/>
  <c r="M30" i="5"/>
  <c r="M46" i="5"/>
  <c r="M8" i="5"/>
  <c r="M22" i="5"/>
  <c r="M31" i="5"/>
  <c r="M39" i="5"/>
  <c r="M47" i="5"/>
  <c r="M55" i="5"/>
  <c r="M63" i="5"/>
  <c r="M14" i="5"/>
  <c r="M24" i="5"/>
  <c r="M32" i="5"/>
  <c r="M40" i="5"/>
  <c r="M48" i="5"/>
  <c r="M56" i="5"/>
  <c r="M17" i="4"/>
  <c r="M31" i="4"/>
  <c r="M69" i="4"/>
  <c r="M15" i="4"/>
  <c r="M8" i="4"/>
  <c r="M21" i="4"/>
  <c r="M35" i="4"/>
  <c r="M9" i="4"/>
  <c r="M23" i="4"/>
  <c r="M71" i="4"/>
  <c r="M83" i="4"/>
  <c r="M13" i="4"/>
  <c r="M25" i="4"/>
  <c r="M38" i="4"/>
  <c r="M63" i="4"/>
  <c r="M72" i="4"/>
  <c r="M84" i="4"/>
  <c r="M14" i="4"/>
  <c r="M29" i="4"/>
  <c r="M39" i="4"/>
  <c r="M64" i="4"/>
  <c r="M73" i="4"/>
  <c r="M16" i="4"/>
  <c r="M30" i="4"/>
  <c r="M40" i="4"/>
  <c r="M68" i="4"/>
  <c r="M74" i="4"/>
  <c r="M19" i="4"/>
  <c r="M34" i="4"/>
  <c r="M20" i="4"/>
  <c r="M70" i="4"/>
  <c r="M81" i="4"/>
  <c r="M75" i="3"/>
  <c r="M74" i="3"/>
  <c r="M77" i="3"/>
  <c r="M76" i="3"/>
  <c r="M73" i="3"/>
  <c r="M72" i="3"/>
  <c r="M70" i="3"/>
  <c r="M69" i="3"/>
  <c r="M67" i="3"/>
  <c r="M65" i="3"/>
  <c r="M68" i="3"/>
  <c r="M66" i="3"/>
  <c r="M60" i="3"/>
  <c r="M61" i="3"/>
  <c r="M62" i="3"/>
  <c r="M63" i="3"/>
  <c r="M64" i="3"/>
  <c r="M78" i="3"/>
  <c r="M56" i="3"/>
  <c r="M58" i="3"/>
  <c r="M54" i="3"/>
  <c r="M55" i="3"/>
  <c r="M57" i="3"/>
  <c r="M59" i="3"/>
  <c r="M51" i="3"/>
  <c r="M52" i="3"/>
  <c r="M53" i="3"/>
  <c r="M8" i="3"/>
  <c r="M50" i="3"/>
  <c r="M48" i="3"/>
  <c r="M46" i="3"/>
  <c r="M44" i="3"/>
  <c r="M42" i="3"/>
  <c r="M40" i="3"/>
  <c r="M38" i="3"/>
  <c r="M36" i="3"/>
  <c r="M32" i="3"/>
  <c r="M16" i="3"/>
  <c r="M11" i="3"/>
  <c r="M49" i="3"/>
  <c r="M47" i="3"/>
  <c r="M45" i="3"/>
  <c r="M43" i="3"/>
  <c r="M41" i="3"/>
  <c r="M39" i="3"/>
  <c r="M35" i="3"/>
  <c r="M31" i="3"/>
  <c r="M14" i="3"/>
  <c r="M10" i="3"/>
</calcChain>
</file>

<file path=xl/sharedStrings.xml><?xml version="1.0" encoding="utf-8"?>
<sst xmlns="http://schemas.openxmlformats.org/spreadsheetml/2006/main" count="1329" uniqueCount="466">
  <si>
    <t>FECHA DE ACTUALIZACIÓN:</t>
  </si>
  <si>
    <t>ÍTEM</t>
  </si>
  <si>
    <t>NOMBRE DEL EQUIPO</t>
  </si>
  <si>
    <t>UBICACIÓN</t>
  </si>
  <si>
    <t>RANGO/ CAPACIDAD</t>
  </si>
  <si>
    <t>MARCA / MODELO</t>
  </si>
  <si>
    <t>SERIAL</t>
  </si>
  <si>
    <t>OBSERVACIONES</t>
  </si>
  <si>
    <t>DEPARTAMENTO / PROYECTO:</t>
  </si>
  <si>
    <t>FRECUENCIA DE CALIBRACIÓN, AJUSTE Y/O MANTENIMIENTO</t>
  </si>
  <si>
    <t>FECHA DE ÚLTIMA CALIBRACIÓN, AJUSTE Y/O MANTENIMIENTO</t>
  </si>
  <si>
    <t>FECHA DE PRÓXIMA CALIBRACIÓN, AJUSTE Y/O MANTENIMIENTO</t>
  </si>
  <si>
    <t>CONTROL DE LOS  EQUIPOS DE MEDICIÓN</t>
  </si>
  <si>
    <t>HOY</t>
  </si>
  <si>
    <t>CÓDIGO INTERNO</t>
  </si>
  <si>
    <t>DB pruftechnik</t>
  </si>
  <si>
    <t>2mm</t>
  </si>
  <si>
    <t>PTBG</t>
  </si>
  <si>
    <t>ANUAL</t>
  </si>
  <si>
    <t>BAKER B1600, Calibrador de presion.</t>
  </si>
  <si>
    <t>B09JPDP6K1</t>
  </si>
  <si>
    <r>
      <t>0 A 160 IN H</t>
    </r>
    <r>
      <rPr>
        <sz val="6"/>
        <rFont val="Arial"/>
        <family val="2"/>
      </rPr>
      <t>2</t>
    </r>
    <r>
      <rPr>
        <sz val="9"/>
        <rFont val="Arial"/>
        <family val="2"/>
      </rPr>
      <t>O</t>
    </r>
  </si>
  <si>
    <t>Cable puesta a tierra temporaria con sus 3 conectores rigidos (mordaza)</t>
  </si>
  <si>
    <t>25 Ka/60 ciclos-35.5 kA/30 ciclos</t>
  </si>
  <si>
    <t xml:space="preserve">Calibrador de proceso de documentacion </t>
  </si>
  <si>
    <t>N/A</t>
  </si>
  <si>
    <t>Comunicador de campo</t>
  </si>
  <si>
    <t>Alineador Laser</t>
  </si>
  <si>
    <t>0-100%</t>
  </si>
  <si>
    <t>PB ISA 2024-PA-215 "SERVICIO INTEGRAL DE MANTENIMIENTO PREDICTIVO, PREVENTIVO, CORRECTIVO Y OPERACIÓN DE LA PLANTA TERMOELECTRICA BAJO GRANDE"</t>
  </si>
  <si>
    <t>50V Hasta 132 KVAC</t>
  </si>
  <si>
    <t>Detector de Alta Tension (Voltimetro)</t>
  </si>
  <si>
    <r>
      <t>Detector Multigas. (COMB/EX-CO-H</t>
    </r>
    <r>
      <rPr>
        <sz val="6"/>
        <color rgb="FF000000"/>
        <rFont val="Arial"/>
        <family val="2"/>
      </rPr>
      <t>2</t>
    </r>
    <r>
      <rPr>
        <sz val="9"/>
        <color indexed="8"/>
        <rFont val="Arial"/>
        <family val="2"/>
      </rPr>
      <t>S, 0</t>
    </r>
    <r>
      <rPr>
        <sz val="6"/>
        <color rgb="FF000000"/>
        <rFont val="Arial"/>
        <family val="2"/>
      </rPr>
      <t>2</t>
    </r>
    <r>
      <rPr>
        <sz val="9"/>
        <color indexed="8"/>
        <rFont val="Arial"/>
        <family val="2"/>
      </rPr>
      <t>)</t>
    </r>
  </si>
  <si>
    <t>ARXM-0500</t>
  </si>
  <si>
    <t>N20230820382</t>
  </si>
  <si>
    <t>CHNADKS/     X-4</t>
  </si>
  <si>
    <t>BAKER / B1600</t>
  </si>
  <si>
    <t xml:space="preserve">FAMECA/ C132-ISC35 </t>
  </si>
  <si>
    <t>FLUKE/ 744</t>
  </si>
  <si>
    <t>EMERSON/ 475</t>
  </si>
  <si>
    <t>FLUKE/ 709H</t>
  </si>
  <si>
    <t>JGW /  277HP</t>
  </si>
  <si>
    <t>DRAGER / X-AM3000</t>
  </si>
  <si>
    <t>DTX-1800 (Voltimetro)</t>
  </si>
  <si>
    <t>Según escala</t>
  </si>
  <si>
    <t xml:space="preserve"> _________</t>
  </si>
  <si>
    <t>_________</t>
  </si>
  <si>
    <t>FLUKE/ DTX 1800</t>
  </si>
  <si>
    <t>Guante de goma para baja tension</t>
  </si>
  <si>
    <t>SALISBURY/ CLASE 0 TIPO1</t>
  </si>
  <si>
    <t>1000 V</t>
  </si>
  <si>
    <t>SEMESTRAL</t>
  </si>
  <si>
    <t>SALISBURY/ PRODUSCA
D120/ ILP14</t>
  </si>
  <si>
    <t>26500 V AC</t>
  </si>
  <si>
    <t>Guante Dielectrico , CLASE 0 TIPO 1</t>
  </si>
  <si>
    <t>SALISBURY /
D120 TIPO 1</t>
  </si>
  <si>
    <t>1000 V AC MAX</t>
  </si>
  <si>
    <t xml:space="preserve">Maquina de Soldar </t>
  </si>
  <si>
    <t>U1080600539</t>
  </si>
  <si>
    <t>LINCOLN/ VANTAGE. K2405-2</t>
  </si>
  <si>
    <t>0-500 A</t>
  </si>
  <si>
    <t>Manometro 0-3000 psi</t>
  </si>
  <si>
    <t>FLUKE / 700RG29 3K</t>
  </si>
  <si>
    <t>0-3000 PSI</t>
  </si>
  <si>
    <t>Megger</t>
  </si>
  <si>
    <t>110870SADV</t>
  </si>
  <si>
    <t>MEGOHMETRO/ AEMC 6505</t>
  </si>
  <si>
    <t>0 A 5 KV</t>
  </si>
  <si>
    <t>Multimetro y Megger</t>
  </si>
  <si>
    <t>Multimetro</t>
  </si>
  <si>
    <t>FLUKE / 787 PROCESSMETER</t>
  </si>
  <si>
    <t>34420225WS</t>
  </si>
  <si>
    <t>FLUKE / 116 TRUE RMS</t>
  </si>
  <si>
    <t>E2011687</t>
  </si>
  <si>
    <t>FLIR / DM284</t>
  </si>
  <si>
    <t>Pinza Amperimetrica</t>
  </si>
  <si>
    <t>FLUKE/ 771</t>
  </si>
  <si>
    <r>
      <t>´+</t>
    </r>
    <r>
      <rPr>
        <sz val="9"/>
        <rFont val="Arial"/>
        <family val="2"/>
      </rPr>
      <t xml:space="preserve"> 20.99 mA </t>
    </r>
    <r>
      <rPr>
        <u/>
        <sz val="9"/>
        <rFont val="Arial"/>
        <family val="2"/>
      </rPr>
      <t>+</t>
    </r>
    <r>
      <rPr>
        <sz val="9"/>
        <rFont val="Arial"/>
        <family val="2"/>
      </rPr>
      <t xml:space="preserve"> 21.0 mA to</t>
    </r>
    <r>
      <rPr>
        <u/>
        <sz val="9"/>
        <rFont val="Arial"/>
        <family val="2"/>
      </rPr>
      <t xml:space="preserve"> + </t>
    </r>
    <r>
      <rPr>
        <sz val="9"/>
        <rFont val="Arial"/>
        <family val="2"/>
      </rPr>
      <t>99.9 mA</t>
    </r>
    <r>
      <rPr>
        <u/>
        <sz val="9"/>
        <rFont val="Arial"/>
        <family val="2"/>
      </rPr>
      <t xml:space="preserve"> </t>
    </r>
  </si>
  <si>
    <t>Pertiga Telescopica Triangular</t>
  </si>
  <si>
    <t>HV-235</t>
  </si>
  <si>
    <t>HASTINGS MICHICAN/ 49058</t>
  </si>
  <si>
    <t>10,5 MTS</t>
  </si>
  <si>
    <t>Pertiga electrica brazo mecanico</t>
  </si>
  <si>
    <t>HASTINGS MICHICAN/ C403-0292</t>
  </si>
  <si>
    <t>2,0 MTS</t>
  </si>
  <si>
    <t>Pinza Voltiamperimetra</t>
  </si>
  <si>
    <t>GREENLEE/ LISTED 67KM</t>
  </si>
  <si>
    <t>64011048WS</t>
  </si>
  <si>
    <t>FLUKE/ 323</t>
  </si>
  <si>
    <t>64084149WS</t>
  </si>
  <si>
    <t>8-555725</t>
  </si>
  <si>
    <t>FLUKE/ 337</t>
  </si>
  <si>
    <t>NO APTO</t>
  </si>
  <si>
    <t>Polipasto Manual de Cadena  tipo Rachet</t>
  </si>
  <si>
    <t>1 1/2 T</t>
  </si>
  <si>
    <t xml:space="preserve">Polipasto Manual de Cadena  </t>
  </si>
  <si>
    <t>FD-0010</t>
  </si>
  <si>
    <t>5 T</t>
  </si>
  <si>
    <t>SA-006</t>
  </si>
  <si>
    <t>UTUSTOOLS/  TEC202</t>
  </si>
  <si>
    <t>2 T</t>
  </si>
  <si>
    <t>SA-008</t>
  </si>
  <si>
    <t>REX/ TIPO RACHET</t>
  </si>
  <si>
    <t xml:space="preserve"> _____</t>
  </si>
  <si>
    <t>SA-011</t>
  </si>
  <si>
    <t>SA-25-598</t>
  </si>
  <si>
    <t>V00001</t>
  </si>
  <si>
    <t>YALE/ DE CADENA</t>
  </si>
  <si>
    <t>10 T</t>
  </si>
  <si>
    <t>V00002</t>
  </si>
  <si>
    <t>Calibrador de Temperatura</t>
  </si>
  <si>
    <t>DRUCK LIMITED/ DBC650</t>
  </si>
  <si>
    <r>
      <rPr>
        <sz val="9"/>
        <rFont val="Calibri"/>
        <family val="2"/>
      </rPr>
      <t>(-45 HASTA650 ⁰</t>
    </r>
    <r>
      <rPr>
        <sz val="9"/>
        <rFont val="Arial"/>
        <family val="2"/>
      </rPr>
      <t>C)</t>
    </r>
  </si>
  <si>
    <t>Torquimetro de 3/4´´</t>
  </si>
  <si>
    <t>SFT-001</t>
  </si>
  <si>
    <t>PROTUL / 991-0008</t>
  </si>
  <si>
    <t>50 A 300 FT-LB</t>
  </si>
  <si>
    <r>
      <t xml:space="preserve">EQUIPOS DE MEDICIÓN (Definir tipo:  EQUIPOS </t>
    </r>
    <r>
      <rPr>
        <b/>
        <i/>
        <sz val="10"/>
        <color indexed="8"/>
        <rFont val="Arial"/>
        <family val="2"/>
      </rPr>
      <t>MECÁNICOS (MEC), ELÉCTRICOS (ELEC), INSTRUMENTACIÓN (INT), SIA (S) )</t>
    </r>
  </si>
  <si>
    <t xml:space="preserve">Bomba para prueba hidraulica </t>
  </si>
  <si>
    <t>FLUKE/ 700HTP-2</t>
  </si>
  <si>
    <t>Druck PV 211</t>
  </si>
  <si>
    <t>OO5140</t>
  </si>
  <si>
    <t>GE/ PV211</t>
  </si>
  <si>
    <t>0 A 10000 PSI
T- 0 ⁰C A 50 ⁰C</t>
  </si>
  <si>
    <t>0 A 600 PSI
T- 0 ⁰C A 50 ⁰C</t>
  </si>
  <si>
    <t>UNT-T/ UT 892</t>
  </si>
  <si>
    <t>Arnes y Cabo de Vida</t>
  </si>
  <si>
    <t>1909200025/EN3612002/ 0321</t>
  </si>
  <si>
    <t>VAULTEX</t>
  </si>
  <si>
    <t>310 KG</t>
  </si>
  <si>
    <t>1909200025/EN3612002/ 0321/190920040</t>
  </si>
  <si>
    <t>VAULTEX /JOHA</t>
  </si>
  <si>
    <t>200 KG</t>
  </si>
  <si>
    <t>Cable de acero 1´´ X 3 Mts</t>
  </si>
  <si>
    <t>K16-P324</t>
  </si>
  <si>
    <t>7.7 t Lazo 5,7 t canasta: 15,4t</t>
  </si>
  <si>
    <t>Aparejos de izamiento (Cancamos)</t>
  </si>
  <si>
    <t>WSLL</t>
  </si>
  <si>
    <t>Grilletes</t>
  </si>
  <si>
    <t>Pintado por el extremo de color verde</t>
  </si>
  <si>
    <t>TAIYO/WLL DT7M</t>
  </si>
  <si>
    <t>4-5 A 8 T</t>
  </si>
  <si>
    <t>CHICAGO</t>
  </si>
  <si>
    <r>
      <t xml:space="preserve">1T A 6 </t>
    </r>
    <r>
      <rPr>
        <sz val="9"/>
        <color indexed="8"/>
        <rFont val="Calibri"/>
        <family val="2"/>
      </rPr>
      <t>½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Calibri"/>
        <family val="2"/>
      </rPr>
      <t>˝</t>
    </r>
  </si>
  <si>
    <t>Soporte ajustable para 7 T</t>
  </si>
  <si>
    <t>TIPO AJUSTABLE</t>
  </si>
  <si>
    <t>7 T</t>
  </si>
  <si>
    <t>VEHICULOS Y MAQUINARIA PESADA</t>
  </si>
  <si>
    <t>Brazo Articulado</t>
  </si>
  <si>
    <t>Toyota /P 5000L</t>
  </si>
  <si>
    <t>2.2 Ton</t>
  </si>
  <si>
    <t>Grua Monoriel</t>
  </si>
  <si>
    <t>CHESTER / ZEPHYR</t>
  </si>
  <si>
    <t>10.000 KGS</t>
  </si>
  <si>
    <t>ZLG-6143</t>
  </si>
  <si>
    <t>Grua Puente</t>
  </si>
  <si>
    <t>261-3310</t>
  </si>
  <si>
    <t>TIGER</t>
  </si>
  <si>
    <t>HLW24648</t>
  </si>
  <si>
    <t>R&amp;M /SX30410032P25FALOF</t>
  </si>
  <si>
    <t>3.200 KGS</t>
  </si>
  <si>
    <t>HLW25869</t>
  </si>
  <si>
    <t>R&amp;M /SX50610150P55FDNOF</t>
  </si>
  <si>
    <t>15.000 KGS</t>
  </si>
  <si>
    <t>Grua sobre Camion Comercial</t>
  </si>
  <si>
    <t>FERRARI / IBP 30500XL/4SI</t>
  </si>
  <si>
    <t>13.500 KGS</t>
  </si>
  <si>
    <t>Manlift</t>
  </si>
  <si>
    <t>021014-0300022330</t>
  </si>
  <si>
    <t>JLG/ 60H</t>
  </si>
  <si>
    <t>450 KG</t>
  </si>
  <si>
    <t>Montacarga</t>
  </si>
  <si>
    <t>CGP460G-0887-9450FB</t>
  </si>
  <si>
    <t>CLARK/ CGP50</t>
  </si>
  <si>
    <t>4 T</t>
  </si>
  <si>
    <t>Retro Excavadora</t>
  </si>
  <si>
    <t>T03105J154735</t>
  </si>
  <si>
    <t>JOHN DEERE/ 310SJ</t>
  </si>
  <si>
    <t>10000 KG</t>
  </si>
  <si>
    <t>Extintor de Dioxido de Carbono</t>
  </si>
  <si>
    <t>271515D</t>
  </si>
  <si>
    <t xml:space="preserve"> CAPACIDAD</t>
  </si>
  <si>
    <t>15 LBS</t>
  </si>
  <si>
    <t>FRECUENCIA DE  MANTENIMIENTO/ RECARGA</t>
  </si>
  <si>
    <t>QUINQUENAL</t>
  </si>
  <si>
    <t>FECHA DE ÚLTIMA RECARGA Y/O MANTENIMIENTO</t>
  </si>
  <si>
    <t>FECHA DE PRÓXIMA RECARGA Y/O MANTENIMIENTO</t>
  </si>
  <si>
    <t xml:space="preserve">Extintor </t>
  </si>
  <si>
    <t>S/N</t>
  </si>
  <si>
    <t>PQS</t>
  </si>
  <si>
    <t>20 LBS</t>
  </si>
  <si>
    <t>TIPO U/O AGENTE</t>
  </si>
  <si>
    <t>V.645592</t>
  </si>
  <si>
    <t>CO2</t>
  </si>
  <si>
    <t>Prueba Hidrostatica
01/4/2024 HASTA 01/04/2029</t>
  </si>
  <si>
    <t>Prueba Hidrostatica
24/8/2023 HASTA 24/8/2028</t>
  </si>
  <si>
    <t>V.652314</t>
  </si>
  <si>
    <t>Prueba Hidrostatica
01/2/2023 HASTA 01/02/2028</t>
  </si>
  <si>
    <t>V.729174</t>
  </si>
  <si>
    <t>V.21562</t>
  </si>
  <si>
    <t>150 LBS</t>
  </si>
  <si>
    <t>Prueba Hidrostatica
01/5/2021 HASTA 01/5/2026</t>
  </si>
  <si>
    <t>PH250</t>
  </si>
  <si>
    <t>50 LBS</t>
  </si>
  <si>
    <t>Prueba Hidrostatica
01/4/2024 HASTA 01/4/2029</t>
  </si>
  <si>
    <r>
      <t xml:space="preserve">EQUIPOS DE MEDICIÓN (Definir tipo:  HERRAMIENTAS </t>
    </r>
    <r>
      <rPr>
        <b/>
        <i/>
        <sz val="10"/>
        <color indexed="8"/>
        <rFont val="Arial"/>
        <family val="2"/>
      </rPr>
      <t>MECÁNICOS: (MEC), ELÉCTRICOS (ELEC), INSTRUMENTACIÓN (INT), SIA (S) )</t>
    </r>
  </si>
  <si>
    <t>65340132WS</t>
  </si>
  <si>
    <t>64780046WS</t>
  </si>
  <si>
    <t>Multimetro 87 V</t>
  </si>
  <si>
    <t>87V TRUE RMS</t>
  </si>
  <si>
    <t>Según escala 1000V</t>
  </si>
  <si>
    <t>FLUKE/ 1587  INSULATION MULTIMETER</t>
  </si>
  <si>
    <t>EXTINTORES. (Nota: Todos se recargan Anualmente)</t>
  </si>
  <si>
    <t>C232601608</t>
  </si>
  <si>
    <t>1813069/ 1813070</t>
  </si>
  <si>
    <t>Guante Dielectrico , CLASE 3 TIPO 1 de 12"</t>
  </si>
  <si>
    <t>5332860 / 5332859</t>
  </si>
  <si>
    <t>Maquina de Soldar Electrica</t>
  </si>
  <si>
    <t>12C9K419400100391480056</t>
  </si>
  <si>
    <t>HOFFMAMART /LASSEN 200</t>
  </si>
  <si>
    <t>0 -200 A</t>
  </si>
  <si>
    <t>Sonometro o Decibelimetro</t>
  </si>
  <si>
    <t>UNI-T/ UT352</t>
  </si>
  <si>
    <t>30-130DB</t>
  </si>
  <si>
    <t>FLUKE/ DTX-MFM2</t>
  </si>
  <si>
    <t xml:space="preserve">Guante Dielectrico , CLASE 2 TIPO 1 </t>
  </si>
  <si>
    <t>C2S10 G0021F</t>
  </si>
  <si>
    <t>MARIGOLD/ EN60903</t>
  </si>
  <si>
    <t>17000 V AC MAX</t>
  </si>
  <si>
    <r>
      <t xml:space="preserve">PTBG
</t>
    </r>
    <r>
      <rPr>
        <sz val="8"/>
        <rFont val="Arial"/>
        <family val="2"/>
      </rPr>
      <t>SALA DE CONTROL</t>
    </r>
  </si>
  <si>
    <t xml:space="preserve">PTBG
</t>
  </si>
  <si>
    <t xml:space="preserve">Guante Dielectrico , CLASE 4 TIPO 1 </t>
  </si>
  <si>
    <t>SALISBURY/
D120</t>
  </si>
  <si>
    <t>36000 V AC</t>
  </si>
  <si>
    <t xml:space="preserve">FLUKE/
787B PROCESSMETER
</t>
  </si>
  <si>
    <t>62220102MW</t>
  </si>
  <si>
    <t>FLUKE/
117 TRUE RMS</t>
  </si>
  <si>
    <t>Torquimetro de 1/2´´</t>
  </si>
  <si>
    <t>STANLEY / STMT 73-591</t>
  </si>
  <si>
    <t>60 A 300 N-M</t>
  </si>
  <si>
    <t>Torquimetro de 3/8´´</t>
  </si>
  <si>
    <t>PROTO / J6005C</t>
  </si>
  <si>
    <t>4 A 80 FT-LBS</t>
  </si>
  <si>
    <t xml:space="preserve">EC2B-2B/ EC3B-1B /EC3B-2B/ EC3B-3B /EC4B-3B </t>
  </si>
  <si>
    <t xml:space="preserve">EC1B-1B 
EC2B-2B 
</t>
  </si>
  <si>
    <t>162426/ 162427/ 162428/ 162429/ 112417/ 112418/ 142409/ 142410</t>
  </si>
  <si>
    <t>1¨2000 Kg
2¨4000 Kg</t>
  </si>
  <si>
    <t>Eslinga de 1¨x1mts / 2¨x2mts
(Naranja)</t>
  </si>
  <si>
    <t>EP3B-3
EP3B-1</t>
  </si>
  <si>
    <t>Eslinga poliester alta tenacidad (Amarrillo)
9cmx 3mts
9cm x 1mts</t>
  </si>
  <si>
    <t>162418/ 162419/ 162420/ 162421/ 162422/ 162423/ 162424/ 162425</t>
  </si>
  <si>
    <t>6000 Kg a 8400 Kg</t>
  </si>
  <si>
    <t>Soporte fijo para 7 T</t>
  </si>
  <si>
    <t>TIPO FIJO</t>
  </si>
  <si>
    <t>3T</t>
  </si>
  <si>
    <t>SM-146</t>
  </si>
  <si>
    <t xml:space="preserve">EP3B-3
EP3B-3
</t>
  </si>
  <si>
    <t>Eslinga de izamiento 3.5¨ (9cm) Amarillo</t>
  </si>
  <si>
    <t>222404/222405/ 412407/412408</t>
  </si>
  <si>
    <t>2400 kg a
8400 kg</t>
  </si>
  <si>
    <t>SML-401</t>
  </si>
  <si>
    <t>SML-400</t>
  </si>
  <si>
    <t>SF-A</t>
  </si>
  <si>
    <t>SF-B</t>
  </si>
  <si>
    <t>YALE/PM-1 1/2´</t>
  </si>
  <si>
    <t xml:space="preserve">Osciloscopio-Multimero </t>
  </si>
  <si>
    <t>FNIRSI/ 2C23T 2C53</t>
  </si>
  <si>
    <t>SF-HM-001</t>
  </si>
  <si>
    <t>HM-BLE, modem HART de baja energia bluetooth</t>
  </si>
  <si>
    <t>PROCOMSOL/ HM-BLE</t>
  </si>
  <si>
    <t>Bomba de comprobacion de baja presion (low pressure test pump)</t>
  </si>
  <si>
    <t>FLUKE/ 700LTP1</t>
  </si>
  <si>
    <t>12,7 PSI A 100 PSI</t>
  </si>
  <si>
    <t>SF-AR-008/009/010/011</t>
  </si>
  <si>
    <t>SF-T-02</t>
  </si>
  <si>
    <t>EPANLO</t>
  </si>
  <si>
    <t>13,6 A 108,5 N-M</t>
  </si>
  <si>
    <t>Torquimetro de 1/4´´</t>
  </si>
  <si>
    <t>PITTTSBURGH PRO</t>
  </si>
  <si>
    <t>SF-T-01</t>
  </si>
  <si>
    <t>20-200 IN-LB</t>
  </si>
  <si>
    <t>Polipasto Manual de Cadena</t>
  </si>
  <si>
    <t>SA-014</t>
  </si>
  <si>
    <t>CHAIN HOIST</t>
  </si>
  <si>
    <t>25/11//2024</t>
  </si>
  <si>
    <t>FLUKE/ 377FC</t>
  </si>
  <si>
    <t>65960628MV</t>
  </si>
  <si>
    <t>FLUKE/ 325 TRUE-RMS</t>
  </si>
  <si>
    <t xml:space="preserve"> LINO NAVA</t>
  </si>
  <si>
    <t>64672299MV</t>
  </si>
  <si>
    <t>FLUKE/325 TRUE-RM</t>
  </si>
  <si>
    <t>Eslinga modelo 11 de 25.40 mm: 1´x 300 mts de cable de acero AM AA ARD 180</t>
  </si>
  <si>
    <t>050400055A</t>
  </si>
  <si>
    <t>BOA</t>
  </si>
  <si>
    <t>41.700 KG</t>
  </si>
  <si>
    <t>SF-AR-003/004</t>
  </si>
  <si>
    <t>SF-AR-005/006/007</t>
  </si>
  <si>
    <t>202408
19092000200</t>
  </si>
  <si>
    <t xml:space="preserve">EC1B-1B 
</t>
  </si>
  <si>
    <t>800 kg a 2000 kg</t>
  </si>
  <si>
    <t>Eslinga de izamiento 1¨X1 mts Naranja</t>
  </si>
  <si>
    <t>Eslinga de izamiento 2¨ X 2mts Naranja</t>
  </si>
  <si>
    <t>ESLINCARGA</t>
  </si>
  <si>
    <t>EC2B</t>
  </si>
  <si>
    <t>1600 kg A 4000 kg</t>
  </si>
  <si>
    <t>Detector de gas SF6</t>
  </si>
  <si>
    <t>DILO ARMATUREN/ 3-033-R002</t>
  </si>
  <si>
    <t>INDICADOR POR COLORES</t>
  </si>
  <si>
    <t>SF6-Gas super liquefaction system</t>
  </si>
  <si>
    <t>WOOSUNG/ SLR-600-06</t>
  </si>
  <si>
    <t>CAP.LIQ.600L</t>
  </si>
  <si>
    <t>SLR1032</t>
  </si>
  <si>
    <t xml:space="preserve">YALE </t>
  </si>
  <si>
    <t>AGENTE CERTIFICADOR</t>
  </si>
  <si>
    <t>INTEST, C.A</t>
  </si>
  <si>
    <t>SF-AR-001</t>
  </si>
  <si>
    <t>SF-AR-002</t>
  </si>
  <si>
    <t>CORPOELEC</t>
  </si>
  <si>
    <t>140 KG</t>
  </si>
  <si>
    <t xml:space="preserve">VERTICAL: 2000
CESTA:4000 Kg </t>
  </si>
  <si>
    <t>Eslinga de 2¨x2 mts/ 3¨x1mts/ 3¨x2 mts/3¨x3 mts / 4¨x 3 mts
Protector para eslinga de 3¨</t>
  </si>
  <si>
    <t>4095607 A</t>
  </si>
  <si>
    <t>409560 B</t>
  </si>
  <si>
    <t>SF-PERT-001</t>
  </si>
  <si>
    <t>SF-PER-001</t>
  </si>
  <si>
    <t>EC1B-1B</t>
  </si>
  <si>
    <t>092503/ 092504/ 092505/ 092506</t>
  </si>
  <si>
    <t xml:space="preserve">Kg.U 2000 Kg
Kg.Vertical 1000Kg
Kg.Lazo 8.00 Kg </t>
  </si>
  <si>
    <t>Eslinga de izamiento de carga
1¨x 1 mts
Naranja</t>
  </si>
  <si>
    <t>EC2B-2B</t>
  </si>
  <si>
    <t>092507/ 092508/ 092509/ 092510</t>
  </si>
  <si>
    <t>Eslinga de izamiento de carga
2¨x 2 mts
Naranja</t>
  </si>
  <si>
    <t xml:space="preserve">Kg.U 4000 Kg
Kg.Vertical 2000Kg
Kg.Lazo 1.600 Kg </t>
  </si>
  <si>
    <t>EP3B-1</t>
  </si>
  <si>
    <t>Eslinga de izamiento de carga
3.5¨x 1 mts
Amarillo</t>
  </si>
  <si>
    <t xml:space="preserve">Kg.U 8.400 Kg
Kg.Vertical 4.200Kg
Kg.Lazo 3.360 Kg </t>
  </si>
  <si>
    <t>EP3B-2</t>
  </si>
  <si>
    <t>Eslinga de izamiento de carga
3.5¨x 2 mts
Amarillo</t>
  </si>
  <si>
    <t>Toyo chain block / GCT610-3-ST</t>
  </si>
  <si>
    <t>GPD1A</t>
  </si>
  <si>
    <t>GPD1B</t>
  </si>
  <si>
    <t>GPD1C</t>
  </si>
  <si>
    <t>WSLL
14mm
19mm</t>
  </si>
  <si>
    <t>2000 Kg
2400 Kg
5000 Kg</t>
  </si>
  <si>
    <t>C-1 / C-2/C-3/C-4/C-5/C-6/C-7/C-8/C-9/C-10/C-11/C-12/C-13</t>
  </si>
  <si>
    <t>Aparejos de izamiento (Cancamos)
Bg-2</t>
  </si>
  <si>
    <t>INVERMULCA</t>
  </si>
  <si>
    <t>Aparejos de izamiento (Cancamos)
Bg-1</t>
  </si>
  <si>
    <t>C-14/C-15/C-16</t>
  </si>
  <si>
    <t xml:space="preserve">3000 Kg
2000 Kg
</t>
  </si>
  <si>
    <t>Batea de 3 eje</t>
  </si>
  <si>
    <t>Free Ways/ SPT</t>
  </si>
  <si>
    <t>32 Ton</t>
  </si>
  <si>
    <t>BOSCAN</t>
  </si>
  <si>
    <t>Quinta Rueda</t>
  </si>
  <si>
    <t>C06004862T</t>
  </si>
  <si>
    <t>HOLLAND/FREIGHTLINER</t>
  </si>
  <si>
    <t>S-163</t>
  </si>
  <si>
    <t>46 Ton</t>
  </si>
  <si>
    <t>Zona Industrial</t>
  </si>
  <si>
    <t>Prueba Hidrostatica
01/4/2021 HASTA 01/04/2026</t>
  </si>
  <si>
    <t>V-729183</t>
  </si>
  <si>
    <t>V-729195</t>
  </si>
  <si>
    <t>CENTRIFUGADORA</t>
  </si>
  <si>
    <t>BG-2</t>
  </si>
  <si>
    <t>BG-1</t>
  </si>
  <si>
    <t>TALLER MECANICO</t>
  </si>
  <si>
    <t>TALLER ELECTRICO</t>
  </si>
  <si>
    <t>CÓDIGO INTERNO (ETIQUETA DE INSPECCION)</t>
  </si>
  <si>
    <t>V.645457</t>
  </si>
  <si>
    <t>V.546190</t>
  </si>
  <si>
    <t>Prueba Hidrostatica
01/5/2021 HASTA 01/05/2026</t>
  </si>
  <si>
    <t>V.645487</t>
  </si>
  <si>
    <t>Prueba Hidrostatica
01/2/2021 HASTA 01/02/2030</t>
  </si>
  <si>
    <t>V.647904</t>
  </si>
  <si>
    <t>V.679975</t>
  </si>
  <si>
    <t>Prueba Hidrostatica
01/3/2024 HASTA 01/3/2029</t>
  </si>
  <si>
    <t>Dioxido  de Carbono</t>
  </si>
  <si>
    <t>PCM 1</t>
  </si>
  <si>
    <t>PCM2</t>
  </si>
  <si>
    <t>NO CERTIFICAR</t>
  </si>
  <si>
    <t>SIXTO</t>
  </si>
  <si>
    <t>PTBG
10 y 11
(refineria)</t>
  </si>
  <si>
    <t>SF-AR-012/013/014/015/016/017/108</t>
  </si>
  <si>
    <t>FA30401
FA30401
0472
0351
0259
0436
0472</t>
  </si>
  <si>
    <t>INTOOL
PALOMA</t>
  </si>
  <si>
    <t>AMARILLOS CON NEGRO</t>
  </si>
  <si>
    <t>Bomba para prueba hidraulica 0 A 10000 PSI</t>
  </si>
  <si>
    <t>6559033MV</t>
  </si>
  <si>
    <t>Modulo de presion 750PDS 
0 A 100  PSI</t>
  </si>
  <si>
    <t>FLUKE/ 750PD5</t>
  </si>
  <si>
    <t>15/30PSIG</t>
  </si>
  <si>
    <t>Modulo de presion 750PD5
0 A 5000  PSI</t>
  </si>
  <si>
    <t>C-15 (7 UND)
C-25 (2UND)
C-15 (4 UND)</t>
  </si>
  <si>
    <t>5200 LB
13300 LB
10600 LB</t>
  </si>
  <si>
    <t>INSTRUMENTO</t>
  </si>
  <si>
    <t>G-A/ G-B/G-C/G-D/M-A (4 Und)/ E-A (4 Und)/ F-A (4Und)</t>
  </si>
  <si>
    <t>Electricidad</t>
  </si>
  <si>
    <t>INSTRUMENTO / Electricidad</t>
  </si>
  <si>
    <t>__________</t>
  </si>
  <si>
    <t xml:space="preserve">VERTICAL: 4.448 Kg
LAZO: 3.268 Kg
CESTA:8.806 Kg </t>
  </si>
  <si>
    <t>Eslinga modelo 11: Cable de acero 3/4" X 3´</t>
  </si>
  <si>
    <t>050400035A
2 Und</t>
  </si>
  <si>
    <t>NO APTO 
CABO DE VIDA 
005-007</t>
  </si>
  <si>
    <t>E-A (4 UND)</t>
  </si>
  <si>
    <t>CAMPBELL/ WLL</t>
  </si>
  <si>
    <r>
      <t xml:space="preserve">Tamaño: 5/8´
</t>
    </r>
    <r>
      <rPr>
        <sz val="9"/>
        <color rgb="FF000000"/>
        <rFont val="Arial"/>
        <family val="2"/>
      </rPr>
      <t>Capacidad</t>
    </r>
    <r>
      <rPr>
        <sz val="9"/>
        <color indexed="8"/>
        <rFont val="Arial"/>
        <family val="2"/>
      </rPr>
      <t>:3.1/4´</t>
    </r>
  </si>
  <si>
    <t>Cuna de Turbina</t>
  </si>
  <si>
    <t>PTBGD-02</t>
  </si>
  <si>
    <t xml:space="preserve">           ______</t>
  </si>
  <si>
    <t>DOLLYN</t>
  </si>
  <si>
    <t>4500 KG</t>
  </si>
  <si>
    <t xml:space="preserve">EC2B-2B
EC2B-2B
</t>
  </si>
  <si>
    <t>092511 / 142414</t>
  </si>
  <si>
    <t>Eslinga de izamiento 2" (2m) Naranja</t>
  </si>
  <si>
    <t>"U" 4000 Kg
"V" 2000 Kg
"Lazo" 1600 Kg</t>
  </si>
  <si>
    <t>S-LF-01</t>
  </si>
  <si>
    <t>Lift Fixture (accesorio de ascensor)</t>
  </si>
  <si>
    <t>288870-C</t>
  </si>
  <si>
    <t>LM6000 / TIPO AVION</t>
  </si>
  <si>
    <t>Capacidad Nominal: 9.299 Kg
Capacidad Seguro: 7439 Kg</t>
  </si>
  <si>
    <t>Area comun (resguardado en almacen )</t>
  </si>
  <si>
    <t>Bombonas CO2 Bg-1</t>
  </si>
  <si>
    <t>KF139408</t>
  </si>
  <si>
    <t>100 LBS</t>
  </si>
  <si>
    <t>Prueba Hidrostatica
01/11/2023 HASTA 01/11/2028</t>
  </si>
  <si>
    <t>KF139705</t>
  </si>
  <si>
    <t>KF139685</t>
  </si>
  <si>
    <t>KF137358</t>
  </si>
  <si>
    <t>KF139356</t>
  </si>
  <si>
    <t>KF137847</t>
  </si>
  <si>
    <t>KF139375</t>
  </si>
  <si>
    <t>KF137846</t>
  </si>
  <si>
    <t>KF139345</t>
  </si>
  <si>
    <t>KF139354</t>
  </si>
  <si>
    <t>KF137863</t>
  </si>
  <si>
    <t>KF137859</t>
  </si>
  <si>
    <t>KF139353</t>
  </si>
  <si>
    <t>KF137862</t>
  </si>
  <si>
    <t>Bombonas CO2 Bg-2</t>
  </si>
  <si>
    <t>KF139412</t>
  </si>
  <si>
    <t>Prueba Hidrostatica
01/5/2025 HASTA 01/5/2030</t>
  </si>
  <si>
    <t>KF137897</t>
  </si>
  <si>
    <t>KF139357</t>
  </si>
  <si>
    <t>KF137856</t>
  </si>
  <si>
    <t>KF137892</t>
  </si>
  <si>
    <t>KF139351</t>
  </si>
  <si>
    <t>KF111398</t>
  </si>
  <si>
    <t>KF137887</t>
  </si>
  <si>
    <t>KF139394</t>
  </si>
  <si>
    <t>KF139411</t>
  </si>
  <si>
    <t>KF139372</t>
  </si>
  <si>
    <t>KF137885</t>
  </si>
  <si>
    <t>KF137864</t>
  </si>
  <si>
    <t>KF111457</t>
  </si>
  <si>
    <t xml:space="preserve">   </t>
  </si>
  <si>
    <t>Valvula de seguridad</t>
  </si>
  <si>
    <t>T-09-25172</t>
  </si>
  <si>
    <t>CROSBY/ 81PS1F68-8</t>
  </si>
  <si>
    <t>Junio</t>
  </si>
  <si>
    <t>SF-AR-019</t>
  </si>
  <si>
    <t>ARNES Y CABO DE VIDA</t>
  </si>
  <si>
    <t>SF-AR-020</t>
  </si>
  <si>
    <t>SF-AR-021</t>
  </si>
  <si>
    <t>VAULTEX/ PSH022
VAULTEX/ VT-6709</t>
  </si>
  <si>
    <t>310 LBS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</si>
</sst>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0_ ;[Red]\-0.00\ "/>
  </numFmts>
  <fonts count="3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b/>
      <i/>
      <sz val="12"/>
      <color indexed="8"/>
      <name val="Arial"/>
      <family val="2"/>
    </font>
    <font>
      <i/>
      <sz val="12"/>
      <color indexed="8"/>
      <name val="Arial"/>
      <family val="2"/>
    </font>
    <font>
      <b/>
      <u/>
      <sz val="8"/>
      <color indexed="8"/>
      <name val="Arial"/>
      <family val="2"/>
    </font>
    <font>
      <b/>
      <sz val="20"/>
      <color indexed="8"/>
      <name val="Arial"/>
      <family val="2"/>
    </font>
    <font>
      <sz val="14"/>
      <color indexed="8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i/>
      <sz val="10"/>
      <color indexed="8"/>
      <name val="Arial"/>
      <family val="2"/>
    </font>
    <font>
      <b/>
      <sz val="9"/>
      <name val="Arial"/>
      <family val="2"/>
    </font>
    <font>
      <b/>
      <u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rgb="FF202124"/>
      <name val="Arial"/>
      <family val="2"/>
    </font>
    <font>
      <sz val="6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u/>
      <sz val="8"/>
      <color rgb="FF000000"/>
      <name val="Arial"/>
      <family val="2"/>
    </font>
    <font>
      <sz val="6"/>
      <color rgb="FF000000"/>
      <name val="Arial"/>
      <family val="2"/>
    </font>
    <font>
      <u/>
      <sz val="9"/>
      <name val="Arial"/>
      <family val="2"/>
    </font>
    <font>
      <sz val="9"/>
      <name val="Calibri"/>
      <family val="2"/>
    </font>
    <font>
      <sz val="9"/>
      <color indexed="8"/>
      <name val="Calibri"/>
      <family val="2"/>
    </font>
    <font>
      <sz val="8"/>
      <name val="Calibri"/>
      <family val="2"/>
      <scheme val="minor"/>
    </font>
    <font>
      <sz val="8"/>
      <name val="Arial"/>
      <family val="2"/>
    </font>
    <font>
      <b/>
      <sz val="16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sz val="9"/>
      <color indexed="8"/>
      <name val="Arial"/>
      <family val="2"/>
    </font>
    <font>
      <b/>
      <sz val="9"/>
      <color rgb="FF000000"/>
      <name val="Arial"/>
      <family val="2"/>
    </font>
    <font>
      <b/>
      <sz val="14"/>
      <name val="Arial"/>
      <family val="2"/>
    </font>
    <font>
      <sz val="9"/>
      <color rgb="FFFF0000"/>
      <name val="Arial"/>
      <family val="2"/>
    </font>
    <font>
      <sz val="9"/>
      <color rgb="FF000000"/>
      <name val="Arial"/>
      <family val="2"/>
    </font>
    <font>
      <sz val="8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160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14" fontId="2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3" fillId="0" borderId="0" xfId="0" applyFont="1" applyAlignment="1">
      <alignment horizontal="right"/>
    </xf>
    <xf numFmtId="0" fontId="4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14" fontId="3" fillId="0" borderId="0" xfId="0" applyNumberFormat="1" applyFont="1"/>
    <xf numFmtId="0" fontId="5" fillId="0" borderId="9" xfId="0" applyFont="1" applyBorder="1" applyAlignment="1">
      <alignment vertical="center"/>
    </xf>
    <xf numFmtId="0" fontId="7" fillId="0" borderId="0" xfId="0" applyFont="1"/>
    <xf numFmtId="0" fontId="10" fillId="0" borderId="10" xfId="0" applyFont="1" applyBorder="1" applyAlignment="1">
      <alignment vertical="center"/>
    </xf>
    <xf numFmtId="14" fontId="4" fillId="0" borderId="0" xfId="0" applyNumberFormat="1" applyFont="1" applyAlignment="1">
      <alignment horizontal="center" vertical="center"/>
    </xf>
    <xf numFmtId="164" fontId="5" fillId="0" borderId="0" xfId="1" applyNumberFormat="1" applyFont="1" applyFill="1" applyAlignment="1">
      <alignment vertical="center"/>
    </xf>
    <xf numFmtId="0" fontId="19" fillId="2" borderId="13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/>
    </xf>
    <xf numFmtId="0" fontId="5" fillId="0" borderId="8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11" xfId="0" applyFont="1" applyFill="1" applyBorder="1" applyAlignment="1">
      <alignment horizontal="center" vertical="center" wrapText="1"/>
    </xf>
    <xf numFmtId="0" fontId="20" fillId="2" borderId="11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14" fontId="2" fillId="0" borderId="13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64" fontId="5" fillId="2" borderId="0" xfId="1" applyNumberFormat="1" applyFont="1" applyFill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 wrapText="1"/>
    </xf>
    <xf numFmtId="14" fontId="5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164" fontId="5" fillId="8" borderId="0" xfId="1" applyNumberFormat="1" applyFont="1" applyFill="1" applyAlignment="1">
      <alignment vertical="center"/>
    </xf>
    <xf numFmtId="0" fontId="3" fillId="0" borderId="8" xfId="0" applyFont="1" applyBorder="1" applyAlignment="1">
      <alignment horizontal="center" vertical="center"/>
    </xf>
    <xf numFmtId="14" fontId="27" fillId="0" borderId="1" xfId="0" applyNumberFormat="1" applyFont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19" fillId="2" borderId="11" xfId="0" applyFont="1" applyFill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top"/>
    </xf>
    <xf numFmtId="14" fontId="2" fillId="0" borderId="8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Border="1"/>
    <xf numFmtId="0" fontId="5" fillId="0" borderId="0" xfId="0" applyFont="1" applyAlignment="1">
      <alignment horizontal="center" vertical="center" wrapText="1"/>
    </xf>
    <xf numFmtId="0" fontId="20" fillId="2" borderId="14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14" fontId="5" fillId="0" borderId="9" xfId="0" applyNumberFormat="1" applyFont="1" applyBorder="1" applyAlignment="1">
      <alignment horizontal="center"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30" fillId="2" borderId="13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top" wrapText="1"/>
    </xf>
    <xf numFmtId="0" fontId="5" fillId="7" borderId="8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 wrapText="1"/>
    </xf>
    <xf numFmtId="14" fontId="5" fillId="7" borderId="9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14" fontId="5" fillId="8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14" fontId="2" fillId="7" borderId="1" xfId="0" applyNumberFormat="1" applyFont="1" applyFill="1" applyBorder="1" applyAlignment="1">
      <alignment horizontal="center" vertical="center"/>
    </xf>
    <xf numFmtId="0" fontId="14" fillId="8" borderId="11" xfId="0" applyFont="1" applyFill="1" applyBorder="1" applyAlignment="1">
      <alignment horizontal="center" vertical="center" wrapText="1"/>
    </xf>
    <xf numFmtId="0" fontId="20" fillId="8" borderId="1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14" fontId="2" fillId="0" borderId="18" xfId="0" applyNumberFormat="1" applyFont="1" applyBorder="1" applyAlignment="1">
      <alignment horizontal="center" vertical="center" wrapText="1"/>
    </xf>
    <xf numFmtId="14" fontId="5" fillId="0" borderId="18" xfId="0" applyNumberFormat="1" applyFont="1" applyBorder="1" applyAlignment="1">
      <alignment horizontal="center" vertical="center"/>
    </xf>
    <xf numFmtId="0" fontId="27" fillId="7" borderId="11" xfId="0" applyFont="1" applyFill="1" applyBorder="1" applyAlignment="1">
      <alignment horizontal="center" vertical="center" wrapText="1"/>
    </xf>
    <xf numFmtId="0" fontId="19" fillId="7" borderId="1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0" fillId="7" borderId="15" xfId="0" applyFill="1" applyBorder="1" applyAlignment="1">
      <alignment horizontal="center" vertical="center" wrapText="1"/>
    </xf>
    <xf numFmtId="0" fontId="32" fillId="7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wrapText="1"/>
    </xf>
    <xf numFmtId="0" fontId="14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31" fillId="7" borderId="1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4" fillId="0" borderId="1" xfId="0" applyFont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center" vertical="center"/>
    </xf>
    <xf numFmtId="0" fontId="36" fillId="0" borderId="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/>
    <xf numFmtId="0" fontId="4" fillId="0" borderId="1" xfId="0" applyFont="1" applyBorder="1" applyAlignment="1"/>
    <xf numFmtId="0" fontId="14" fillId="2" borderId="1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4" fontId="2" fillId="2" borderId="13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0" fontId="4" fillId="6" borderId="6" xfId="0" applyFont="1" applyFill="1" applyBorder="1" applyAlignment="1">
      <alignment horizontal="left" vertical="center"/>
    </xf>
    <xf numFmtId="0" fontId="4" fillId="6" borderId="7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28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colors>
    <mruColors>
      <color rgb="FFFFFF66"/>
      <color rgb="FFEAD7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47625</xdr:rowOff>
    </xdr:from>
    <xdr:to>
      <xdr:col>2</xdr:col>
      <xdr:colOff>646642</xdr:colOff>
      <xdr:row>2</xdr:row>
      <xdr:rowOff>165401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F8AD025-6C38-4F8C-9221-CF07A9C60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47625"/>
          <a:ext cx="1428750" cy="4987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47625</xdr:rowOff>
    </xdr:from>
    <xdr:to>
      <xdr:col>2</xdr:col>
      <xdr:colOff>638175</xdr:colOff>
      <xdr:row>2</xdr:row>
      <xdr:rowOff>165401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91F2D5-B469-447C-8A6E-C2D748428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47625"/>
          <a:ext cx="1428750" cy="4987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47625</xdr:rowOff>
    </xdr:from>
    <xdr:to>
      <xdr:col>2</xdr:col>
      <xdr:colOff>666750</xdr:colOff>
      <xdr:row>2</xdr:row>
      <xdr:rowOff>165401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FDA9254-1A0B-41C6-A8BC-CCC58A039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47625"/>
          <a:ext cx="1428750" cy="4987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47625</xdr:rowOff>
    </xdr:from>
    <xdr:to>
      <xdr:col>2</xdr:col>
      <xdr:colOff>457200</xdr:colOff>
      <xdr:row>2</xdr:row>
      <xdr:rowOff>165401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69B861-374B-4B2A-98F6-8D65FE731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47625"/>
          <a:ext cx="1428750" cy="49877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47625</xdr:rowOff>
    </xdr:from>
    <xdr:to>
      <xdr:col>2</xdr:col>
      <xdr:colOff>646642</xdr:colOff>
      <xdr:row>2</xdr:row>
      <xdr:rowOff>165401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BDA8491-0BD7-4C9B-820F-F6CFDF09B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47625"/>
          <a:ext cx="1437217" cy="49877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47625</xdr:rowOff>
    </xdr:from>
    <xdr:to>
      <xdr:col>2</xdr:col>
      <xdr:colOff>646642</xdr:colOff>
      <xdr:row>2</xdr:row>
      <xdr:rowOff>165401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AB8A184-4521-427B-A6BE-010D3A92E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47625"/>
          <a:ext cx="1437217" cy="4987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62847-DF1C-4181-8138-B092B35C4719}">
  <sheetPr>
    <tabColor rgb="FF92D050"/>
  </sheetPr>
  <dimension ref="A1:O84"/>
  <sheetViews>
    <sheetView topLeftCell="A25" zoomScale="90" zoomScaleNormal="90" workbookViewId="0">
      <selection activeCell="H13" sqref="H13"/>
    </sheetView>
  </sheetViews>
  <sheetFormatPr baseColWidth="10" defaultRowHeight="12.75" x14ac:dyDescent="0.2"/>
  <cols>
    <col min="1" max="1" width="5.140625" style="3" customWidth="1"/>
    <col min="2" max="2" width="9.42578125" style="1" customWidth="1"/>
    <col min="3" max="3" width="22.42578125" style="1" customWidth="1"/>
    <col min="4" max="4" width="16.28515625" style="3" customWidth="1"/>
    <col min="5" max="5" width="11.5703125" style="3" customWidth="1"/>
    <col min="6" max="6" width="11.85546875" style="3" bestFit="1" customWidth="1"/>
    <col min="7" max="7" width="12.42578125" style="3" customWidth="1"/>
    <col min="8" max="8" width="17.140625" style="3" customWidth="1"/>
    <col min="9" max="9" width="16.7109375" style="1" customWidth="1"/>
    <col min="10" max="10" width="16.140625" style="1" customWidth="1"/>
    <col min="11" max="11" width="14.85546875" style="1" customWidth="1"/>
    <col min="12" max="12" width="17" style="1" customWidth="1"/>
    <col min="13" max="13" width="9.5703125" style="1" customWidth="1"/>
    <col min="14" max="16384" width="11.42578125" style="1"/>
  </cols>
  <sheetData>
    <row r="1" spans="1:15" ht="15" x14ac:dyDescent="0.2"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5" ht="15" x14ac:dyDescent="0.2">
      <c r="A2" s="141" t="s">
        <v>12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</row>
    <row r="3" spans="1:15" ht="15" x14ac:dyDescent="0.2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5" ht="15.75" customHeight="1" x14ac:dyDescent="0.2">
      <c r="A4" s="1"/>
      <c r="B4" s="142" t="s">
        <v>8</v>
      </c>
      <c r="C4" s="142"/>
      <c r="D4" s="143" t="s">
        <v>29</v>
      </c>
      <c r="E4" s="144"/>
      <c r="F4" s="144"/>
      <c r="G4" s="144"/>
      <c r="H4" s="144"/>
      <c r="I4" s="144"/>
      <c r="J4" s="144"/>
      <c r="K4" s="144"/>
      <c r="L4" s="144"/>
    </row>
    <row r="5" spans="1:15" ht="13.5" thickBot="1" x14ac:dyDescent="0.25">
      <c r="J5" s="14" t="s">
        <v>0</v>
      </c>
      <c r="K5" s="14"/>
      <c r="L5" s="26"/>
      <c r="M5" s="30">
        <f ca="1">TODAY()</f>
        <v>45864</v>
      </c>
      <c r="N5" s="1" t="s">
        <v>13</v>
      </c>
    </row>
    <row r="6" spans="1:15" s="2" customFormat="1" ht="67.5" customHeight="1" thickBot="1" x14ac:dyDescent="0.3">
      <c r="A6" s="15" t="s">
        <v>1</v>
      </c>
      <c r="B6" s="16" t="s">
        <v>14</v>
      </c>
      <c r="C6" s="16" t="s">
        <v>2</v>
      </c>
      <c r="D6" s="16" t="s">
        <v>6</v>
      </c>
      <c r="E6" s="16" t="s">
        <v>5</v>
      </c>
      <c r="F6" s="16" t="s">
        <v>4</v>
      </c>
      <c r="G6" s="16" t="s">
        <v>3</v>
      </c>
      <c r="H6" s="16" t="s">
        <v>9</v>
      </c>
      <c r="I6" s="16" t="s">
        <v>10</v>
      </c>
      <c r="J6" s="16" t="s">
        <v>11</v>
      </c>
      <c r="K6" s="85" t="s">
        <v>313</v>
      </c>
      <c r="L6" s="17" t="s">
        <v>7</v>
      </c>
      <c r="M6" s="29"/>
      <c r="N6" s="10"/>
      <c r="O6" s="10"/>
    </row>
    <row r="7" spans="1:15" s="8" customFormat="1" ht="13.5" customHeight="1" x14ac:dyDescent="0.25">
      <c r="A7" s="145" t="s">
        <v>117</v>
      </c>
      <c r="B7" s="146"/>
      <c r="C7" s="146"/>
      <c r="D7" s="146"/>
      <c r="E7" s="146"/>
      <c r="F7" s="146"/>
      <c r="G7" s="146"/>
      <c r="H7" s="146"/>
      <c r="I7" s="146"/>
      <c r="J7" s="146"/>
      <c r="K7" s="146"/>
      <c r="L7" s="147"/>
      <c r="M7" s="7"/>
    </row>
    <row r="8" spans="1:15" s="8" customFormat="1" ht="24" customHeight="1" x14ac:dyDescent="0.25">
      <c r="A8" s="71">
        <v>1</v>
      </c>
      <c r="B8" s="119"/>
      <c r="C8" s="76" t="s">
        <v>27</v>
      </c>
      <c r="D8" s="71">
        <v>43213804</v>
      </c>
      <c r="E8" s="74" t="s">
        <v>15</v>
      </c>
      <c r="F8" s="73" t="s">
        <v>16</v>
      </c>
      <c r="G8" s="73" t="s">
        <v>17</v>
      </c>
      <c r="H8" s="73" t="s">
        <v>18</v>
      </c>
      <c r="I8" s="75">
        <v>45675</v>
      </c>
      <c r="J8" s="75">
        <v>46040</v>
      </c>
      <c r="K8" s="75"/>
      <c r="L8" s="120"/>
      <c r="M8" s="31">
        <f ca="1">J8-M$5</f>
        <v>176</v>
      </c>
      <c r="N8" s="7"/>
    </row>
    <row r="9" spans="1:15" s="7" customFormat="1" ht="24" customHeight="1" x14ac:dyDescent="0.25">
      <c r="A9" s="71">
        <v>2</v>
      </c>
      <c r="B9" s="109"/>
      <c r="C9" s="42" t="s">
        <v>19</v>
      </c>
      <c r="D9" s="110" t="s">
        <v>20</v>
      </c>
      <c r="E9" s="111" t="s">
        <v>36</v>
      </c>
      <c r="F9" s="110" t="s">
        <v>21</v>
      </c>
      <c r="G9" s="110" t="s">
        <v>17</v>
      </c>
      <c r="H9" s="110" t="s">
        <v>18</v>
      </c>
      <c r="I9" s="112">
        <v>45573</v>
      </c>
      <c r="J9" s="112">
        <v>45938</v>
      </c>
      <c r="K9" s="112"/>
      <c r="L9" s="12"/>
      <c r="M9" s="58">
        <f t="shared" ref="M9:M84" ca="1" si="0">J9-M$5</f>
        <v>74</v>
      </c>
    </row>
    <row r="10" spans="1:15" s="7" customFormat="1" ht="34.5" customHeight="1" x14ac:dyDescent="0.25">
      <c r="A10" s="71">
        <v>3</v>
      </c>
      <c r="B10" s="20"/>
      <c r="C10" s="51" t="s">
        <v>387</v>
      </c>
      <c r="D10" s="5" t="s">
        <v>388</v>
      </c>
      <c r="E10" s="9" t="s">
        <v>119</v>
      </c>
      <c r="F10" s="5" t="s">
        <v>123</v>
      </c>
      <c r="G10" s="110" t="s">
        <v>17</v>
      </c>
      <c r="H10" s="110" t="s">
        <v>18</v>
      </c>
      <c r="I10" s="24">
        <v>45747</v>
      </c>
      <c r="J10" s="24">
        <v>46112</v>
      </c>
      <c r="K10" s="24"/>
      <c r="L10" s="12"/>
      <c r="M10" s="58">
        <f t="shared" ca="1" si="0"/>
        <v>248</v>
      </c>
    </row>
    <row r="11" spans="1:15" s="7" customFormat="1" ht="38.25" customHeight="1" x14ac:dyDescent="0.25">
      <c r="A11" s="71">
        <v>4</v>
      </c>
      <c r="B11" s="138"/>
      <c r="C11" s="139" t="s">
        <v>118</v>
      </c>
      <c r="D11" s="73">
        <v>6920</v>
      </c>
      <c r="E11" s="140" t="s">
        <v>119</v>
      </c>
      <c r="F11" s="73" t="s">
        <v>123</v>
      </c>
      <c r="G11" s="73" t="s">
        <v>17</v>
      </c>
      <c r="H11" s="73" t="s">
        <v>18</v>
      </c>
      <c r="I11" s="75">
        <v>45736</v>
      </c>
      <c r="J11" s="75">
        <v>46101</v>
      </c>
      <c r="K11" s="75"/>
      <c r="L11" s="119"/>
      <c r="M11" s="58">
        <f t="shared" ca="1" si="0"/>
        <v>237</v>
      </c>
    </row>
    <row r="12" spans="1:15" s="7" customFormat="1" ht="48.75" customHeight="1" x14ac:dyDescent="0.25">
      <c r="A12" s="71">
        <v>5</v>
      </c>
      <c r="B12" s="34"/>
      <c r="C12" s="51" t="s">
        <v>270</v>
      </c>
      <c r="D12" s="5">
        <v>6549329</v>
      </c>
      <c r="E12" s="50" t="s">
        <v>271</v>
      </c>
      <c r="F12" s="5" t="s">
        <v>272</v>
      </c>
      <c r="G12" s="5" t="s">
        <v>17</v>
      </c>
      <c r="H12" s="5" t="s">
        <v>18</v>
      </c>
      <c r="I12" s="24">
        <v>45736</v>
      </c>
      <c r="J12" s="24">
        <v>46101</v>
      </c>
      <c r="K12" s="24"/>
      <c r="L12" s="59" t="s">
        <v>395</v>
      </c>
      <c r="M12" s="58">
        <f t="shared" ca="1" si="0"/>
        <v>237</v>
      </c>
    </row>
    <row r="13" spans="1:15" s="7" customFormat="1" ht="48" customHeight="1" x14ac:dyDescent="0.25">
      <c r="A13" s="71">
        <v>6</v>
      </c>
      <c r="B13" s="34"/>
      <c r="C13" s="43" t="s">
        <v>22</v>
      </c>
      <c r="D13" s="33">
        <v>61138</v>
      </c>
      <c r="E13" s="47" t="s">
        <v>37</v>
      </c>
      <c r="F13" s="5" t="s">
        <v>23</v>
      </c>
      <c r="G13" s="5" t="s">
        <v>17</v>
      </c>
      <c r="H13" s="5" t="s">
        <v>18</v>
      </c>
      <c r="I13" s="24">
        <v>45704</v>
      </c>
      <c r="J13" s="24">
        <v>46069</v>
      </c>
      <c r="K13" s="24"/>
      <c r="L13" s="12"/>
      <c r="M13" s="31">
        <f t="shared" ca="1" si="0"/>
        <v>205</v>
      </c>
    </row>
    <row r="14" spans="1:15" s="7" customFormat="1" ht="34.5" customHeight="1" x14ac:dyDescent="0.25">
      <c r="A14" s="71">
        <v>7</v>
      </c>
      <c r="B14" s="34"/>
      <c r="C14" s="44" t="s">
        <v>24</v>
      </c>
      <c r="D14" s="33">
        <v>9478031</v>
      </c>
      <c r="E14" s="35" t="s">
        <v>38</v>
      </c>
      <c r="F14" s="5" t="s">
        <v>25</v>
      </c>
      <c r="G14" s="5" t="s">
        <v>17</v>
      </c>
      <c r="H14" s="5" t="s">
        <v>18</v>
      </c>
      <c r="I14" s="24">
        <v>45682</v>
      </c>
      <c r="J14" s="24">
        <v>46047</v>
      </c>
      <c r="K14" s="24"/>
      <c r="L14" s="59" t="s">
        <v>395</v>
      </c>
      <c r="M14" s="31">
        <f t="shared" ca="1" si="0"/>
        <v>183</v>
      </c>
    </row>
    <row r="15" spans="1:15" s="7" customFormat="1" ht="34.5" customHeight="1" x14ac:dyDescent="0.25">
      <c r="A15" s="71">
        <v>8</v>
      </c>
      <c r="B15" s="34"/>
      <c r="C15" s="5" t="s">
        <v>110</v>
      </c>
      <c r="D15" s="5">
        <v>40826</v>
      </c>
      <c r="E15" s="9" t="s">
        <v>111</v>
      </c>
      <c r="F15" s="5" t="s">
        <v>112</v>
      </c>
      <c r="G15" s="5" t="s">
        <v>17</v>
      </c>
      <c r="H15" s="5" t="s">
        <v>18</v>
      </c>
      <c r="I15" s="24">
        <v>45575</v>
      </c>
      <c r="J15" s="24">
        <v>45940</v>
      </c>
      <c r="K15" s="24"/>
      <c r="L15" s="13"/>
      <c r="M15" s="58">
        <f ca="1">J15-M$5</f>
        <v>76</v>
      </c>
    </row>
    <row r="16" spans="1:15" s="7" customFormat="1" ht="32.25" customHeight="1" x14ac:dyDescent="0.25">
      <c r="A16" s="71">
        <v>9</v>
      </c>
      <c r="B16" s="34"/>
      <c r="C16" s="38" t="s">
        <v>26</v>
      </c>
      <c r="D16" s="33">
        <v>11099676</v>
      </c>
      <c r="E16" s="48" t="s">
        <v>39</v>
      </c>
      <c r="F16" s="5" t="s">
        <v>28</v>
      </c>
      <c r="G16" s="5" t="s">
        <v>17</v>
      </c>
      <c r="H16" s="5" t="s">
        <v>18</v>
      </c>
      <c r="I16" s="24">
        <v>45574</v>
      </c>
      <c r="J16" s="24">
        <v>45939</v>
      </c>
      <c r="K16" s="24"/>
      <c r="L16" s="12"/>
      <c r="M16" s="58">
        <f ca="1">J16-M$5</f>
        <v>75</v>
      </c>
    </row>
    <row r="17" spans="1:13" s="7" customFormat="1" ht="24" customHeight="1" x14ac:dyDescent="0.25">
      <c r="A17" s="71">
        <v>10</v>
      </c>
      <c r="B17" s="21"/>
      <c r="C17" s="45" t="s">
        <v>26</v>
      </c>
      <c r="D17" s="33">
        <v>4540536</v>
      </c>
      <c r="E17" s="22" t="s">
        <v>40</v>
      </c>
      <c r="F17" s="5" t="s">
        <v>28</v>
      </c>
      <c r="G17" s="5" t="s">
        <v>17</v>
      </c>
      <c r="H17" s="5" t="s">
        <v>18</v>
      </c>
      <c r="I17" s="24">
        <v>45574</v>
      </c>
      <c r="J17" s="24">
        <v>45939</v>
      </c>
      <c r="K17" s="24"/>
      <c r="L17" s="11"/>
      <c r="M17" s="58">
        <f t="shared" ca="1" si="0"/>
        <v>75</v>
      </c>
    </row>
    <row r="18" spans="1:13" s="7" customFormat="1" ht="40.5" customHeight="1" x14ac:dyDescent="0.25">
      <c r="A18" s="71">
        <v>11</v>
      </c>
      <c r="B18" s="21"/>
      <c r="C18" s="82" t="s">
        <v>305</v>
      </c>
      <c r="D18" s="33">
        <v>4199</v>
      </c>
      <c r="E18" s="84" t="s">
        <v>306</v>
      </c>
      <c r="F18" s="83" t="s">
        <v>307</v>
      </c>
      <c r="G18" s="5" t="s">
        <v>17</v>
      </c>
      <c r="H18" s="5" t="s">
        <v>18</v>
      </c>
      <c r="I18" s="24">
        <v>45643</v>
      </c>
      <c r="J18" s="24">
        <v>46008</v>
      </c>
      <c r="K18" s="86"/>
      <c r="L18" s="27"/>
      <c r="M18" s="58">
        <f t="shared" ca="1" si="0"/>
        <v>144</v>
      </c>
    </row>
    <row r="19" spans="1:13" s="7" customFormat="1" ht="24" customHeight="1" x14ac:dyDescent="0.2">
      <c r="A19" s="71">
        <v>12</v>
      </c>
      <c r="B19" s="21"/>
      <c r="C19" s="46" t="s">
        <v>31</v>
      </c>
      <c r="D19" s="39">
        <v>2160194</v>
      </c>
      <c r="E19" s="32" t="s">
        <v>41</v>
      </c>
      <c r="F19" s="41" t="s">
        <v>30</v>
      </c>
      <c r="G19" s="5" t="s">
        <v>17</v>
      </c>
      <c r="H19" s="5" t="s">
        <v>18</v>
      </c>
      <c r="I19" s="24">
        <v>45706</v>
      </c>
      <c r="J19" s="24">
        <v>46071</v>
      </c>
      <c r="K19" s="86"/>
      <c r="L19" s="27"/>
      <c r="M19" s="31">
        <f t="shared" ca="1" si="0"/>
        <v>207</v>
      </c>
    </row>
    <row r="20" spans="1:13" s="7" customFormat="1" ht="24" customHeight="1" x14ac:dyDescent="0.25">
      <c r="A20" s="91">
        <v>13</v>
      </c>
      <c r="B20" s="92"/>
      <c r="C20" s="93" t="s">
        <v>32</v>
      </c>
      <c r="D20" s="94" t="s">
        <v>33</v>
      </c>
      <c r="E20" s="95" t="s">
        <v>42</v>
      </c>
      <c r="F20" s="94" t="s">
        <v>45</v>
      </c>
      <c r="G20" s="60" t="s">
        <v>17</v>
      </c>
      <c r="H20" s="60" t="s">
        <v>51</v>
      </c>
      <c r="I20" s="62">
        <v>45573</v>
      </c>
      <c r="J20" s="62">
        <v>45755</v>
      </c>
      <c r="K20" s="96"/>
      <c r="L20" s="107" t="s">
        <v>92</v>
      </c>
      <c r="M20" s="58">
        <f t="shared" ca="1" si="0"/>
        <v>-109</v>
      </c>
    </row>
    <row r="21" spans="1:13" s="7" customFormat="1" ht="24" customHeight="1" x14ac:dyDescent="0.25">
      <c r="A21" s="71">
        <v>14</v>
      </c>
      <c r="B21" s="21"/>
      <c r="C21" s="40" t="s">
        <v>32</v>
      </c>
      <c r="D21" s="36" t="s">
        <v>34</v>
      </c>
      <c r="E21" s="41" t="s">
        <v>35</v>
      </c>
      <c r="F21" s="22" t="s">
        <v>46</v>
      </c>
      <c r="G21" s="5" t="s">
        <v>17</v>
      </c>
      <c r="H21" s="5" t="s">
        <v>51</v>
      </c>
      <c r="I21" s="24">
        <v>45755</v>
      </c>
      <c r="J21" s="24">
        <v>45938</v>
      </c>
      <c r="K21" s="86"/>
      <c r="L21" s="27"/>
      <c r="M21" s="58">
        <f t="shared" ca="1" si="0"/>
        <v>74</v>
      </c>
    </row>
    <row r="22" spans="1:13" s="7" customFormat="1" ht="24" customHeight="1" x14ac:dyDescent="0.25">
      <c r="A22" s="71">
        <v>15</v>
      </c>
      <c r="B22" s="21"/>
      <c r="C22" s="41" t="s">
        <v>120</v>
      </c>
      <c r="D22" s="52" t="s">
        <v>121</v>
      </c>
      <c r="E22" s="41" t="s">
        <v>122</v>
      </c>
      <c r="F22" s="41" t="s">
        <v>124</v>
      </c>
      <c r="G22" s="5" t="s">
        <v>17</v>
      </c>
      <c r="H22" s="5" t="s">
        <v>18</v>
      </c>
      <c r="I22" s="24">
        <v>45736</v>
      </c>
      <c r="J22" s="24">
        <v>46101</v>
      </c>
      <c r="K22" s="86"/>
      <c r="L22" s="27"/>
      <c r="M22" s="58">
        <f t="shared" ca="1" si="0"/>
        <v>237</v>
      </c>
    </row>
    <row r="23" spans="1:13" s="7" customFormat="1" ht="24" customHeight="1" x14ac:dyDescent="0.25">
      <c r="A23" s="71">
        <v>16</v>
      </c>
      <c r="B23" s="21"/>
      <c r="C23" s="41" t="s">
        <v>43</v>
      </c>
      <c r="D23" s="22" t="s">
        <v>214</v>
      </c>
      <c r="E23" s="41" t="s">
        <v>47</v>
      </c>
      <c r="F23" s="23" t="s">
        <v>44</v>
      </c>
      <c r="G23" s="5" t="s">
        <v>17</v>
      </c>
      <c r="H23" s="5" t="s">
        <v>18</v>
      </c>
      <c r="I23" s="24">
        <v>45506</v>
      </c>
      <c r="J23" s="24">
        <v>45871</v>
      </c>
      <c r="K23" s="86"/>
      <c r="L23" s="27"/>
      <c r="M23" s="31">
        <f t="shared" ca="1" si="0"/>
        <v>7</v>
      </c>
    </row>
    <row r="24" spans="1:13" s="7" customFormat="1" ht="24" customHeight="1" x14ac:dyDescent="0.25">
      <c r="A24" s="71">
        <v>17</v>
      </c>
      <c r="B24" s="21"/>
      <c r="C24" s="41" t="s">
        <v>43</v>
      </c>
      <c r="D24" s="22">
        <v>1665023</v>
      </c>
      <c r="E24" s="41" t="s">
        <v>224</v>
      </c>
      <c r="F24" s="23" t="s">
        <v>44</v>
      </c>
      <c r="G24" s="5" t="s">
        <v>17</v>
      </c>
      <c r="H24" s="5" t="s">
        <v>18</v>
      </c>
      <c r="I24" s="24">
        <v>45506</v>
      </c>
      <c r="J24" s="24">
        <v>45871</v>
      </c>
      <c r="K24" s="86"/>
      <c r="L24" s="27"/>
      <c r="M24" s="31">
        <f t="shared" ca="1" si="0"/>
        <v>7</v>
      </c>
    </row>
    <row r="25" spans="1:13" s="7" customFormat="1" ht="24" customHeight="1" x14ac:dyDescent="0.25">
      <c r="A25" s="71">
        <v>18</v>
      </c>
      <c r="B25" s="21"/>
      <c r="C25" s="41" t="s">
        <v>43</v>
      </c>
      <c r="D25" s="22">
        <v>1855623</v>
      </c>
      <c r="E25" s="41" t="s">
        <v>224</v>
      </c>
      <c r="F25" s="23" t="s">
        <v>44</v>
      </c>
      <c r="G25" s="5" t="s">
        <v>17</v>
      </c>
      <c r="H25" s="5" t="s">
        <v>18</v>
      </c>
      <c r="I25" s="24">
        <v>45506</v>
      </c>
      <c r="J25" s="24">
        <v>45871</v>
      </c>
      <c r="K25" s="86"/>
      <c r="L25" s="27"/>
      <c r="M25" s="31">
        <f t="shared" ca="1" si="0"/>
        <v>7</v>
      </c>
    </row>
    <row r="26" spans="1:13" s="7" customFormat="1" ht="24" customHeight="1" x14ac:dyDescent="0.25">
      <c r="A26" s="71">
        <v>19</v>
      </c>
      <c r="B26" s="66"/>
      <c r="C26" s="41" t="s">
        <v>43</v>
      </c>
      <c r="D26" s="22">
        <v>1855616</v>
      </c>
      <c r="E26" s="41" t="s">
        <v>224</v>
      </c>
      <c r="F26" s="23" t="s">
        <v>44</v>
      </c>
      <c r="G26" s="5" t="s">
        <v>17</v>
      </c>
      <c r="H26" s="5" t="s">
        <v>18</v>
      </c>
      <c r="I26" s="24">
        <v>45506</v>
      </c>
      <c r="J26" s="24">
        <v>45871</v>
      </c>
      <c r="K26" s="86"/>
      <c r="L26" s="27"/>
      <c r="M26" s="31">
        <f t="shared" ca="1" si="0"/>
        <v>7</v>
      </c>
    </row>
    <row r="27" spans="1:13" s="7" customFormat="1" ht="24" customHeight="1" x14ac:dyDescent="0.25">
      <c r="A27" s="71">
        <v>20</v>
      </c>
      <c r="B27" s="66"/>
      <c r="C27" s="41" t="s">
        <v>43</v>
      </c>
      <c r="D27" s="22">
        <v>9670008</v>
      </c>
      <c r="E27" s="41" t="s">
        <v>224</v>
      </c>
      <c r="F27" s="23" t="s">
        <v>44</v>
      </c>
      <c r="G27" s="5" t="s">
        <v>17</v>
      </c>
      <c r="H27" s="5" t="s">
        <v>18</v>
      </c>
      <c r="I27" s="24">
        <v>45506</v>
      </c>
      <c r="J27" s="24">
        <v>45871</v>
      </c>
      <c r="K27" s="86"/>
      <c r="L27" s="27"/>
      <c r="M27" s="31">
        <f t="shared" ca="1" si="0"/>
        <v>7</v>
      </c>
    </row>
    <row r="28" spans="1:13" s="7" customFormat="1" ht="24" customHeight="1" x14ac:dyDescent="0.25">
      <c r="A28" s="71">
        <v>21</v>
      </c>
      <c r="B28" s="66"/>
      <c r="C28" s="40" t="s">
        <v>48</v>
      </c>
      <c r="D28" s="59" t="s">
        <v>321</v>
      </c>
      <c r="E28" s="41" t="s">
        <v>49</v>
      </c>
      <c r="F28" s="22" t="s">
        <v>50</v>
      </c>
      <c r="G28" s="5" t="s">
        <v>17</v>
      </c>
      <c r="H28" s="5" t="s">
        <v>51</v>
      </c>
      <c r="I28" s="24">
        <v>45695</v>
      </c>
      <c r="J28" s="24">
        <v>45876</v>
      </c>
      <c r="K28" s="86" t="s">
        <v>317</v>
      </c>
      <c r="L28" s="108" t="s">
        <v>379</v>
      </c>
      <c r="M28" s="31">
        <f t="shared" ref="M28" ca="1" si="1">J28-M$5</f>
        <v>12</v>
      </c>
    </row>
    <row r="29" spans="1:13" s="7" customFormat="1" ht="39" customHeight="1" x14ac:dyDescent="0.25">
      <c r="A29" s="71">
        <v>22</v>
      </c>
      <c r="B29" s="41"/>
      <c r="C29" s="40" t="s">
        <v>48</v>
      </c>
      <c r="D29" s="59" t="s">
        <v>322</v>
      </c>
      <c r="E29" s="41" t="s">
        <v>49</v>
      </c>
      <c r="F29" s="22" t="s">
        <v>50</v>
      </c>
      <c r="G29" s="5" t="s">
        <v>17</v>
      </c>
      <c r="H29" s="5" t="s">
        <v>51</v>
      </c>
      <c r="I29" s="24">
        <v>45695</v>
      </c>
      <c r="J29" s="24">
        <v>45876</v>
      </c>
      <c r="K29" s="86" t="s">
        <v>317</v>
      </c>
      <c r="L29" s="27"/>
      <c r="M29" s="31">
        <f t="shared" ca="1" si="0"/>
        <v>12</v>
      </c>
    </row>
    <row r="30" spans="1:13" s="7" customFormat="1" ht="38.25" customHeight="1" x14ac:dyDescent="0.25">
      <c r="A30" s="71">
        <v>23</v>
      </c>
      <c r="B30" s="41"/>
      <c r="C30" s="40" t="s">
        <v>48</v>
      </c>
      <c r="D30" s="59">
        <v>4122575</v>
      </c>
      <c r="E30" s="41" t="s">
        <v>49</v>
      </c>
      <c r="F30" s="22" t="s">
        <v>50</v>
      </c>
      <c r="G30" s="5" t="s">
        <v>17</v>
      </c>
      <c r="H30" s="5" t="s">
        <v>51</v>
      </c>
      <c r="I30" s="24">
        <v>45695</v>
      </c>
      <c r="J30" s="24">
        <v>45876</v>
      </c>
      <c r="K30" s="86" t="s">
        <v>317</v>
      </c>
      <c r="L30" s="27"/>
      <c r="M30" s="31">
        <f t="shared" ca="1" si="0"/>
        <v>12</v>
      </c>
    </row>
    <row r="31" spans="1:13" s="7" customFormat="1" ht="37.5" customHeight="1" x14ac:dyDescent="0.25">
      <c r="A31" s="71">
        <v>24</v>
      </c>
      <c r="B31" s="41"/>
      <c r="C31" s="40" t="s">
        <v>48</v>
      </c>
      <c r="D31" s="59">
        <v>4096511</v>
      </c>
      <c r="E31" s="41" t="s">
        <v>49</v>
      </c>
      <c r="F31" s="22" t="s">
        <v>50</v>
      </c>
      <c r="G31" s="5" t="s">
        <v>230</v>
      </c>
      <c r="H31" s="5" t="s">
        <v>51</v>
      </c>
      <c r="I31" s="24">
        <v>45695</v>
      </c>
      <c r="J31" s="24">
        <v>45876</v>
      </c>
      <c r="K31" s="86" t="s">
        <v>317</v>
      </c>
      <c r="L31" s="108" t="s">
        <v>378</v>
      </c>
      <c r="M31" s="31">
        <f t="shared" ca="1" si="0"/>
        <v>12</v>
      </c>
    </row>
    <row r="32" spans="1:13" s="7" customFormat="1" ht="37.5" customHeight="1" x14ac:dyDescent="0.25">
      <c r="A32" s="71">
        <v>25</v>
      </c>
      <c r="B32" s="41"/>
      <c r="C32" s="41" t="s">
        <v>225</v>
      </c>
      <c r="D32" s="22" t="s">
        <v>226</v>
      </c>
      <c r="E32" s="41" t="s">
        <v>227</v>
      </c>
      <c r="F32" s="41" t="s">
        <v>228</v>
      </c>
      <c r="G32" s="5" t="s">
        <v>229</v>
      </c>
      <c r="H32" s="5" t="s">
        <v>51</v>
      </c>
      <c r="I32" s="24">
        <v>45746</v>
      </c>
      <c r="J32" s="24">
        <v>45930</v>
      </c>
      <c r="K32" s="86" t="s">
        <v>317</v>
      </c>
      <c r="L32" s="27"/>
      <c r="M32" s="31">
        <f t="shared" ca="1" si="0"/>
        <v>66</v>
      </c>
    </row>
    <row r="33" spans="1:13" s="7" customFormat="1" ht="37.5" customHeight="1" x14ac:dyDescent="0.25">
      <c r="A33" s="71">
        <v>26</v>
      </c>
      <c r="B33" s="41"/>
      <c r="C33" s="41" t="s">
        <v>231</v>
      </c>
      <c r="D33" s="22">
        <v>3102632</v>
      </c>
      <c r="E33" s="41" t="s">
        <v>232</v>
      </c>
      <c r="F33" s="41" t="s">
        <v>233</v>
      </c>
      <c r="G33" s="5" t="s">
        <v>229</v>
      </c>
      <c r="H33" s="5" t="s">
        <v>51</v>
      </c>
      <c r="I33" s="24">
        <v>45565</v>
      </c>
      <c r="J33" s="24">
        <v>45930</v>
      </c>
      <c r="K33" s="86" t="s">
        <v>317</v>
      </c>
      <c r="L33" s="27"/>
      <c r="M33" s="31">
        <f t="shared" ca="1" si="0"/>
        <v>66</v>
      </c>
    </row>
    <row r="34" spans="1:13" s="7" customFormat="1" ht="33" customHeight="1" x14ac:dyDescent="0.25">
      <c r="A34" s="71">
        <v>27</v>
      </c>
      <c r="B34" s="21"/>
      <c r="C34" s="41" t="s">
        <v>215</v>
      </c>
      <c r="D34" s="22" t="s">
        <v>216</v>
      </c>
      <c r="E34" s="41" t="s">
        <v>52</v>
      </c>
      <c r="F34" s="22" t="s">
        <v>53</v>
      </c>
      <c r="G34" s="5" t="s">
        <v>17</v>
      </c>
      <c r="H34" s="5" t="s">
        <v>51</v>
      </c>
      <c r="I34" s="24">
        <v>45613</v>
      </c>
      <c r="J34" s="24">
        <v>45794</v>
      </c>
      <c r="K34" s="86" t="s">
        <v>317</v>
      </c>
      <c r="L34" s="27"/>
      <c r="M34" s="58">
        <f t="shared" ca="1" si="0"/>
        <v>-70</v>
      </c>
    </row>
    <row r="35" spans="1:13" s="7" customFormat="1" ht="27" customHeight="1" x14ac:dyDescent="0.25">
      <c r="A35" s="71">
        <v>28</v>
      </c>
      <c r="B35" s="20"/>
      <c r="C35" s="41" t="s">
        <v>54</v>
      </c>
      <c r="D35" s="22">
        <v>4122176</v>
      </c>
      <c r="E35" s="41" t="s">
        <v>55</v>
      </c>
      <c r="F35" s="41" t="s">
        <v>56</v>
      </c>
      <c r="G35" s="5" t="s">
        <v>17</v>
      </c>
      <c r="H35" s="64" t="s">
        <v>51</v>
      </c>
      <c r="I35" s="24">
        <v>45695</v>
      </c>
      <c r="J35" s="24">
        <v>45876</v>
      </c>
      <c r="K35" s="86" t="s">
        <v>317</v>
      </c>
      <c r="L35" s="12"/>
      <c r="M35" s="58">
        <f t="shared" ca="1" si="0"/>
        <v>12</v>
      </c>
    </row>
    <row r="36" spans="1:13" s="7" customFormat="1" ht="27" customHeight="1" x14ac:dyDescent="0.25">
      <c r="A36" s="71">
        <v>29</v>
      </c>
      <c r="B36" s="5" t="s">
        <v>267</v>
      </c>
      <c r="C36" s="41" t="s">
        <v>268</v>
      </c>
      <c r="D36" s="22">
        <v>1230155</v>
      </c>
      <c r="E36" s="41" t="s">
        <v>269</v>
      </c>
      <c r="F36" s="5" t="s">
        <v>44</v>
      </c>
      <c r="G36" s="5" t="s">
        <v>17</v>
      </c>
      <c r="H36" s="5" t="s">
        <v>18</v>
      </c>
      <c r="I36" s="24">
        <v>45619</v>
      </c>
      <c r="J36" s="24">
        <v>45984</v>
      </c>
      <c r="K36" s="24"/>
      <c r="L36" s="59" t="s">
        <v>395</v>
      </c>
      <c r="M36" s="58">
        <f t="shared" ca="1" si="0"/>
        <v>120</v>
      </c>
    </row>
    <row r="37" spans="1:13" s="7" customFormat="1" ht="34.5" customHeight="1" x14ac:dyDescent="0.25">
      <c r="A37" s="71">
        <v>30</v>
      </c>
      <c r="B37" s="20"/>
      <c r="C37" s="5" t="s">
        <v>217</v>
      </c>
      <c r="D37" s="41" t="s">
        <v>218</v>
      </c>
      <c r="E37" s="41" t="s">
        <v>219</v>
      </c>
      <c r="F37" s="41" t="s">
        <v>220</v>
      </c>
      <c r="G37" s="5" t="s">
        <v>17</v>
      </c>
      <c r="H37" s="64" t="s">
        <v>51</v>
      </c>
      <c r="I37" s="24">
        <v>45327</v>
      </c>
      <c r="J37" s="24">
        <v>45874</v>
      </c>
      <c r="K37" s="24" t="s">
        <v>314</v>
      </c>
      <c r="L37" s="12"/>
      <c r="M37" s="58">
        <f t="shared" ca="1" si="0"/>
        <v>10</v>
      </c>
    </row>
    <row r="38" spans="1:13" s="7" customFormat="1" ht="39" customHeight="1" x14ac:dyDescent="0.25">
      <c r="A38" s="71">
        <v>31</v>
      </c>
      <c r="B38" s="20"/>
      <c r="C38" s="5" t="s">
        <v>57</v>
      </c>
      <c r="D38" s="5" t="s">
        <v>58</v>
      </c>
      <c r="E38" s="9" t="s">
        <v>59</v>
      </c>
      <c r="F38" s="5" t="s">
        <v>60</v>
      </c>
      <c r="G38" s="5" t="s">
        <v>17</v>
      </c>
      <c r="H38" s="64" t="s">
        <v>51</v>
      </c>
      <c r="I38" s="24">
        <v>45327</v>
      </c>
      <c r="J38" s="24">
        <v>45874</v>
      </c>
      <c r="K38" s="24" t="s">
        <v>314</v>
      </c>
      <c r="L38" s="12"/>
      <c r="M38" s="58">
        <f t="shared" ca="1" si="0"/>
        <v>10</v>
      </c>
    </row>
    <row r="39" spans="1:13" ht="27" customHeight="1" x14ac:dyDescent="0.2">
      <c r="A39" s="71">
        <v>32</v>
      </c>
      <c r="B39" s="4"/>
      <c r="C39" s="5" t="s">
        <v>61</v>
      </c>
      <c r="D39" s="5">
        <v>6185365</v>
      </c>
      <c r="E39" s="9" t="s">
        <v>62</v>
      </c>
      <c r="F39" s="5" t="s">
        <v>63</v>
      </c>
      <c r="G39" s="5" t="s">
        <v>17</v>
      </c>
      <c r="H39" s="5" t="s">
        <v>18</v>
      </c>
      <c r="I39" s="24">
        <v>45682</v>
      </c>
      <c r="J39" s="24">
        <v>46047</v>
      </c>
      <c r="K39" s="24"/>
      <c r="L39" s="59" t="s">
        <v>395</v>
      </c>
      <c r="M39" s="31">
        <f t="shared" ca="1" si="0"/>
        <v>183</v>
      </c>
    </row>
    <row r="40" spans="1:13" ht="33.75" customHeight="1" x14ac:dyDescent="0.2">
      <c r="A40" s="71">
        <v>33</v>
      </c>
      <c r="B40" s="4"/>
      <c r="C40" s="5" t="s">
        <v>64</v>
      </c>
      <c r="D40" s="5" t="s">
        <v>65</v>
      </c>
      <c r="E40" s="9" t="s">
        <v>66</v>
      </c>
      <c r="F40" s="5" t="s">
        <v>67</v>
      </c>
      <c r="G40" s="5" t="s">
        <v>17</v>
      </c>
      <c r="H40" s="5" t="s">
        <v>18</v>
      </c>
      <c r="I40" s="24">
        <v>45574</v>
      </c>
      <c r="J40" s="24">
        <v>45939</v>
      </c>
      <c r="K40" s="24"/>
      <c r="L40" s="13"/>
      <c r="M40" s="58">
        <f t="shared" ca="1" si="0"/>
        <v>75</v>
      </c>
    </row>
    <row r="41" spans="1:13" ht="33.75" customHeight="1" x14ac:dyDescent="0.2">
      <c r="A41" s="71">
        <v>34</v>
      </c>
      <c r="B41" s="4"/>
      <c r="C41" s="5" t="s">
        <v>389</v>
      </c>
      <c r="D41" s="5">
        <v>3212012</v>
      </c>
      <c r="E41" s="9" t="s">
        <v>390</v>
      </c>
      <c r="F41" s="5" t="s">
        <v>391</v>
      </c>
      <c r="G41" s="5" t="s">
        <v>17</v>
      </c>
      <c r="H41" s="5" t="s">
        <v>18</v>
      </c>
      <c r="I41" s="24">
        <v>45747</v>
      </c>
      <c r="J41" s="24">
        <v>46112</v>
      </c>
      <c r="K41" s="24"/>
      <c r="L41" s="13"/>
      <c r="M41" s="58">
        <f t="shared" ca="1" si="0"/>
        <v>248</v>
      </c>
    </row>
    <row r="42" spans="1:13" ht="33.75" customHeight="1" x14ac:dyDescent="0.2">
      <c r="A42" s="71">
        <v>35</v>
      </c>
      <c r="B42" s="4"/>
      <c r="C42" s="5" t="s">
        <v>392</v>
      </c>
      <c r="D42" s="5">
        <v>6269278</v>
      </c>
      <c r="E42" s="9" t="s">
        <v>390</v>
      </c>
      <c r="F42" s="5" t="s">
        <v>391</v>
      </c>
      <c r="G42" s="5" t="s">
        <v>17</v>
      </c>
      <c r="H42" s="5" t="s">
        <v>18</v>
      </c>
      <c r="I42" s="24">
        <v>45747</v>
      </c>
      <c r="J42" s="24">
        <v>46112</v>
      </c>
      <c r="K42" s="24"/>
      <c r="L42" s="13"/>
      <c r="M42" s="58">
        <f t="shared" ca="1" si="0"/>
        <v>248</v>
      </c>
    </row>
    <row r="43" spans="1:13" ht="60" customHeight="1" x14ac:dyDescent="0.2">
      <c r="A43" s="71">
        <v>36</v>
      </c>
      <c r="B43" s="4"/>
      <c r="C43" s="5" t="s">
        <v>69</v>
      </c>
      <c r="D43" s="5">
        <v>62210118</v>
      </c>
      <c r="E43" s="67" t="s">
        <v>234</v>
      </c>
      <c r="F43" s="5" t="s">
        <v>44</v>
      </c>
      <c r="G43" s="5" t="s">
        <v>17</v>
      </c>
      <c r="H43" s="5" t="s">
        <v>18</v>
      </c>
      <c r="I43" s="24">
        <v>45575</v>
      </c>
      <c r="J43" s="24">
        <v>45940</v>
      </c>
      <c r="K43" s="24"/>
      <c r="L43" s="13"/>
      <c r="M43" s="58">
        <f t="shared" ca="1" si="0"/>
        <v>76</v>
      </c>
    </row>
    <row r="44" spans="1:13" ht="60" customHeight="1" x14ac:dyDescent="0.2">
      <c r="A44" s="71">
        <v>37</v>
      </c>
      <c r="B44" s="4"/>
      <c r="C44" s="5" t="s">
        <v>69</v>
      </c>
      <c r="D44" s="5" t="s">
        <v>235</v>
      </c>
      <c r="E44" s="67" t="s">
        <v>236</v>
      </c>
      <c r="F44" s="5" t="s">
        <v>44</v>
      </c>
      <c r="G44" s="5" t="s">
        <v>17</v>
      </c>
      <c r="H44" s="5" t="s">
        <v>18</v>
      </c>
      <c r="I44" s="24">
        <v>45575</v>
      </c>
      <c r="J44" s="24">
        <v>45940</v>
      </c>
      <c r="K44" s="24"/>
      <c r="L44" s="59" t="s">
        <v>395</v>
      </c>
      <c r="M44" s="58">
        <f t="shared" ca="1" si="0"/>
        <v>76</v>
      </c>
    </row>
    <row r="45" spans="1:13" ht="45.75" customHeight="1" x14ac:dyDescent="0.2">
      <c r="A45" s="71">
        <v>38</v>
      </c>
      <c r="B45" s="4"/>
      <c r="C45" s="5" t="s">
        <v>68</v>
      </c>
      <c r="D45" s="5">
        <v>93620040</v>
      </c>
      <c r="E45" s="9" t="s">
        <v>211</v>
      </c>
      <c r="F45" s="5" t="s">
        <v>44</v>
      </c>
      <c r="G45" s="5" t="s">
        <v>17</v>
      </c>
      <c r="H45" s="5" t="s">
        <v>18</v>
      </c>
      <c r="I45" s="24">
        <v>45506</v>
      </c>
      <c r="J45" s="24">
        <v>45871</v>
      </c>
      <c r="K45" s="24"/>
      <c r="L45" s="13"/>
      <c r="M45" s="31">
        <f t="shared" ca="1" si="0"/>
        <v>7</v>
      </c>
    </row>
    <row r="46" spans="1:13" ht="39.75" customHeight="1" x14ac:dyDescent="0.2">
      <c r="A46" s="91">
        <v>39</v>
      </c>
      <c r="B46" s="63"/>
      <c r="C46" s="60" t="s">
        <v>69</v>
      </c>
      <c r="D46" s="60">
        <v>10510101</v>
      </c>
      <c r="E46" s="61" t="s">
        <v>70</v>
      </c>
      <c r="F46" s="60" t="s">
        <v>44</v>
      </c>
      <c r="G46" s="60" t="s">
        <v>17</v>
      </c>
      <c r="H46" s="60" t="s">
        <v>18</v>
      </c>
      <c r="I46" s="62">
        <v>45572</v>
      </c>
      <c r="J46" s="62">
        <v>45937</v>
      </c>
      <c r="K46" s="62"/>
      <c r="L46" s="106" t="s">
        <v>92</v>
      </c>
      <c r="M46" s="58">
        <f t="shared" ca="1" si="0"/>
        <v>73</v>
      </c>
    </row>
    <row r="47" spans="1:13" ht="21.75" customHeight="1" x14ac:dyDescent="0.2">
      <c r="A47" s="71">
        <v>40</v>
      </c>
      <c r="B47" s="4"/>
      <c r="C47" s="5" t="s">
        <v>69</v>
      </c>
      <c r="D47" s="5" t="s">
        <v>71</v>
      </c>
      <c r="E47" s="9" t="s">
        <v>72</v>
      </c>
      <c r="F47" s="5" t="s">
        <v>44</v>
      </c>
      <c r="G47" s="5" t="s">
        <v>17</v>
      </c>
      <c r="H47" s="5" t="s">
        <v>18</v>
      </c>
      <c r="I47" s="24">
        <v>45572</v>
      </c>
      <c r="J47" s="24">
        <v>45937</v>
      </c>
      <c r="K47" s="24"/>
      <c r="L47" s="55" t="s">
        <v>398</v>
      </c>
      <c r="M47" s="58">
        <f t="shared" ca="1" si="0"/>
        <v>73</v>
      </c>
    </row>
    <row r="48" spans="1:13" ht="21.75" customHeight="1" x14ac:dyDescent="0.2">
      <c r="A48" s="71">
        <v>41</v>
      </c>
      <c r="B48" s="4"/>
      <c r="C48" s="5" t="s">
        <v>69</v>
      </c>
      <c r="D48" s="64" t="s">
        <v>213</v>
      </c>
      <c r="E48" s="9" t="s">
        <v>125</v>
      </c>
      <c r="F48" s="5" t="s">
        <v>44</v>
      </c>
      <c r="G48" s="5" t="s">
        <v>17</v>
      </c>
      <c r="H48" s="5" t="s">
        <v>18</v>
      </c>
      <c r="I48" s="24">
        <v>45735</v>
      </c>
      <c r="J48" s="24">
        <v>46100</v>
      </c>
      <c r="K48" s="24"/>
      <c r="L48" s="13"/>
      <c r="M48" s="31">
        <f t="shared" ca="1" si="0"/>
        <v>236</v>
      </c>
    </row>
    <row r="49" spans="1:13" ht="21.75" customHeight="1" x14ac:dyDescent="0.2">
      <c r="A49" s="71">
        <v>42</v>
      </c>
      <c r="B49" s="4"/>
      <c r="C49" s="5" t="s">
        <v>208</v>
      </c>
      <c r="D49" s="5">
        <v>65560064</v>
      </c>
      <c r="E49" s="9" t="s">
        <v>209</v>
      </c>
      <c r="F49" s="5" t="s">
        <v>210</v>
      </c>
      <c r="G49" s="5" t="s">
        <v>17</v>
      </c>
      <c r="H49" s="5" t="s">
        <v>18</v>
      </c>
      <c r="I49" s="24">
        <v>45475</v>
      </c>
      <c r="J49" s="24">
        <v>45840</v>
      </c>
      <c r="K49" s="24"/>
      <c r="L49" s="13"/>
      <c r="M49" s="31">
        <f t="shared" ca="1" si="0"/>
        <v>-24</v>
      </c>
    </row>
    <row r="50" spans="1:13" ht="24" customHeight="1" x14ac:dyDescent="0.2">
      <c r="A50" s="71">
        <v>43</v>
      </c>
      <c r="B50" s="4"/>
      <c r="C50" s="5" t="s">
        <v>69</v>
      </c>
      <c r="D50" s="5" t="s">
        <v>73</v>
      </c>
      <c r="E50" s="9" t="s">
        <v>74</v>
      </c>
      <c r="F50" s="5" t="s">
        <v>44</v>
      </c>
      <c r="G50" s="5" t="s">
        <v>17</v>
      </c>
      <c r="H50" s="5" t="s">
        <v>18</v>
      </c>
      <c r="I50" s="24">
        <v>45572</v>
      </c>
      <c r="J50" s="24">
        <v>45937</v>
      </c>
      <c r="K50" s="24"/>
      <c r="L50" s="37" t="s">
        <v>397</v>
      </c>
      <c r="M50" s="58">
        <f t="shared" ca="1" si="0"/>
        <v>73</v>
      </c>
    </row>
    <row r="51" spans="1:13" ht="24" customHeight="1" x14ac:dyDescent="0.2">
      <c r="A51" s="71">
        <v>44</v>
      </c>
      <c r="B51" s="4"/>
      <c r="C51" s="5" t="s">
        <v>265</v>
      </c>
      <c r="D51" s="5"/>
      <c r="E51" s="9" t="s">
        <v>266</v>
      </c>
      <c r="F51" s="5" t="s">
        <v>44</v>
      </c>
      <c r="G51" s="5" t="s">
        <v>17</v>
      </c>
      <c r="H51" s="5" t="s">
        <v>18</v>
      </c>
      <c r="I51" s="24">
        <v>45619</v>
      </c>
      <c r="J51" s="24">
        <v>45984</v>
      </c>
      <c r="K51" s="24"/>
      <c r="L51" s="59" t="s">
        <v>395</v>
      </c>
      <c r="M51" s="58">
        <f t="shared" ca="1" si="0"/>
        <v>120</v>
      </c>
    </row>
    <row r="52" spans="1:13" ht="38.25" customHeight="1" x14ac:dyDescent="0.2">
      <c r="A52" s="71">
        <v>45</v>
      </c>
      <c r="B52" s="4"/>
      <c r="C52" s="5" t="s">
        <v>75</v>
      </c>
      <c r="D52" s="5">
        <v>14960110</v>
      </c>
      <c r="E52" s="9" t="s">
        <v>76</v>
      </c>
      <c r="F52" s="49" t="s">
        <v>77</v>
      </c>
      <c r="G52" s="5" t="s">
        <v>17</v>
      </c>
      <c r="H52" s="5" t="s">
        <v>18</v>
      </c>
      <c r="I52" s="24">
        <v>45759</v>
      </c>
      <c r="J52" s="24">
        <v>46124</v>
      </c>
      <c r="K52" s="24"/>
      <c r="L52" s="105" t="s">
        <v>381</v>
      </c>
      <c r="M52" s="31">
        <f t="shared" ca="1" si="0"/>
        <v>260</v>
      </c>
    </row>
    <row r="53" spans="1:13" ht="38.25" customHeight="1" x14ac:dyDescent="0.2">
      <c r="A53" s="71">
        <v>46</v>
      </c>
      <c r="B53" s="4"/>
      <c r="C53" s="5" t="s">
        <v>75</v>
      </c>
      <c r="D53" s="5" t="s">
        <v>207</v>
      </c>
      <c r="E53" s="9" t="s">
        <v>76</v>
      </c>
      <c r="F53" s="49" t="s">
        <v>77</v>
      </c>
      <c r="G53" s="5" t="s">
        <v>17</v>
      </c>
      <c r="H53" s="5" t="s">
        <v>18</v>
      </c>
      <c r="I53" s="24">
        <v>45475</v>
      </c>
      <c r="J53" s="24">
        <v>45840</v>
      </c>
      <c r="K53" s="24"/>
      <c r="L53" s="13"/>
      <c r="M53" s="31">
        <f t="shared" ca="1" si="0"/>
        <v>-24</v>
      </c>
    </row>
    <row r="54" spans="1:13" ht="38.25" customHeight="1" x14ac:dyDescent="0.2">
      <c r="A54" s="71">
        <v>47</v>
      </c>
      <c r="B54" s="4"/>
      <c r="C54" s="5" t="s">
        <v>75</v>
      </c>
      <c r="D54" s="5" t="s">
        <v>206</v>
      </c>
      <c r="E54" s="9" t="s">
        <v>76</v>
      </c>
      <c r="F54" s="49" t="s">
        <v>77</v>
      </c>
      <c r="G54" s="5" t="s">
        <v>17</v>
      </c>
      <c r="H54" s="5" t="s">
        <v>18</v>
      </c>
      <c r="I54" s="24">
        <v>45475</v>
      </c>
      <c r="J54" s="24">
        <v>45840</v>
      </c>
      <c r="K54" s="24"/>
      <c r="L54" s="13"/>
      <c r="M54" s="31">
        <f t="shared" ca="1" si="0"/>
        <v>-24</v>
      </c>
    </row>
    <row r="55" spans="1:13" ht="34.5" customHeight="1" x14ac:dyDescent="0.2">
      <c r="A55" s="71">
        <v>48</v>
      </c>
      <c r="B55" s="4" t="s">
        <v>323</v>
      </c>
      <c r="C55" s="5" t="s">
        <v>78</v>
      </c>
      <c r="D55" s="5" t="s">
        <v>79</v>
      </c>
      <c r="E55" s="9" t="s">
        <v>80</v>
      </c>
      <c r="F55" s="5" t="s">
        <v>81</v>
      </c>
      <c r="G55" s="5" t="s">
        <v>17</v>
      </c>
      <c r="H55" s="5" t="s">
        <v>51</v>
      </c>
      <c r="I55" s="24">
        <v>45695</v>
      </c>
      <c r="J55" s="24">
        <v>45876</v>
      </c>
      <c r="K55" s="86" t="s">
        <v>317</v>
      </c>
      <c r="L55" s="13"/>
      <c r="M55" s="31">
        <f t="shared" ca="1" si="0"/>
        <v>12</v>
      </c>
    </row>
    <row r="56" spans="1:13" ht="36" customHeight="1" x14ac:dyDescent="0.2">
      <c r="A56" s="71">
        <v>49</v>
      </c>
      <c r="B56" s="4" t="s">
        <v>324</v>
      </c>
      <c r="C56" s="5" t="s">
        <v>82</v>
      </c>
      <c r="D56" s="5"/>
      <c r="E56" s="9" t="s">
        <v>83</v>
      </c>
      <c r="F56" s="5" t="s">
        <v>84</v>
      </c>
      <c r="G56" s="5" t="s">
        <v>17</v>
      </c>
      <c r="H56" s="5" t="s">
        <v>51</v>
      </c>
      <c r="I56" s="24">
        <v>45695</v>
      </c>
      <c r="J56" s="24">
        <v>45876</v>
      </c>
      <c r="K56" s="86" t="s">
        <v>317</v>
      </c>
      <c r="L56" s="13"/>
      <c r="M56" s="58">
        <f t="shared" ca="1" si="0"/>
        <v>12</v>
      </c>
    </row>
    <row r="57" spans="1:13" ht="24" customHeight="1" x14ac:dyDescent="0.2">
      <c r="A57" s="71">
        <v>50</v>
      </c>
      <c r="B57" s="4"/>
      <c r="C57" s="5" t="s">
        <v>85</v>
      </c>
      <c r="D57" s="5">
        <v>1308640099</v>
      </c>
      <c r="E57" s="9" t="s">
        <v>86</v>
      </c>
      <c r="F57" s="5" t="s">
        <v>44</v>
      </c>
      <c r="G57" s="5" t="s">
        <v>17</v>
      </c>
      <c r="H57" s="5" t="s">
        <v>18</v>
      </c>
      <c r="I57" s="24">
        <v>45572</v>
      </c>
      <c r="J57" s="24">
        <v>45937</v>
      </c>
      <c r="K57" s="24"/>
      <c r="L57" s="13"/>
      <c r="M57" s="58">
        <f t="shared" ca="1" si="0"/>
        <v>73</v>
      </c>
    </row>
    <row r="58" spans="1:13" ht="24" customHeight="1" x14ac:dyDescent="0.2">
      <c r="A58" s="71">
        <v>51</v>
      </c>
      <c r="B58" s="4"/>
      <c r="C58" s="5" t="s">
        <v>85</v>
      </c>
      <c r="D58" s="5" t="s">
        <v>87</v>
      </c>
      <c r="E58" s="9" t="s">
        <v>88</v>
      </c>
      <c r="F58" s="5" t="s">
        <v>44</v>
      </c>
      <c r="G58" s="5" t="s">
        <v>17</v>
      </c>
      <c r="H58" s="5" t="s">
        <v>18</v>
      </c>
      <c r="I58" s="24">
        <v>45475</v>
      </c>
      <c r="J58" s="24">
        <v>45840</v>
      </c>
      <c r="K58" s="24"/>
      <c r="L58" s="13"/>
      <c r="M58" s="31">
        <f t="shared" ca="1" si="0"/>
        <v>-24</v>
      </c>
    </row>
    <row r="59" spans="1:13" ht="24" customHeight="1" x14ac:dyDescent="0.2">
      <c r="A59" s="71">
        <v>52</v>
      </c>
      <c r="B59" s="4"/>
      <c r="C59" s="5" t="s">
        <v>85</v>
      </c>
      <c r="D59" s="5" t="s">
        <v>89</v>
      </c>
      <c r="E59" s="9" t="s">
        <v>88</v>
      </c>
      <c r="F59" s="5" t="s">
        <v>44</v>
      </c>
      <c r="G59" s="5" t="s">
        <v>17</v>
      </c>
      <c r="H59" s="5" t="s">
        <v>18</v>
      </c>
      <c r="I59" s="24">
        <v>45475</v>
      </c>
      <c r="J59" s="24">
        <v>45840</v>
      </c>
      <c r="K59" s="24"/>
      <c r="L59" s="13"/>
      <c r="M59" s="31">
        <f t="shared" ca="1" si="0"/>
        <v>-24</v>
      </c>
    </row>
    <row r="60" spans="1:13" ht="24" customHeight="1" x14ac:dyDescent="0.2">
      <c r="A60" s="71">
        <v>53</v>
      </c>
      <c r="B60" s="4"/>
      <c r="C60" s="5" t="s">
        <v>85</v>
      </c>
      <c r="D60" s="5" t="s">
        <v>289</v>
      </c>
      <c r="E60" s="9" t="s">
        <v>290</v>
      </c>
      <c r="F60" s="5" t="s">
        <v>44</v>
      </c>
      <c r="G60" s="5" t="s">
        <v>17</v>
      </c>
      <c r="H60" s="5" t="s">
        <v>18</v>
      </c>
      <c r="I60" s="24">
        <v>45621</v>
      </c>
      <c r="J60" s="24">
        <v>45986</v>
      </c>
      <c r="K60" s="24"/>
      <c r="L60" s="105" t="s">
        <v>288</v>
      </c>
      <c r="M60" s="31">
        <f t="shared" ca="1" si="0"/>
        <v>122</v>
      </c>
    </row>
    <row r="61" spans="1:13" ht="24" customHeight="1" x14ac:dyDescent="0.2">
      <c r="A61" s="71">
        <v>54</v>
      </c>
      <c r="B61" s="4"/>
      <c r="C61" s="5" t="s">
        <v>85</v>
      </c>
      <c r="D61" s="5" t="s">
        <v>286</v>
      </c>
      <c r="E61" s="9" t="s">
        <v>287</v>
      </c>
      <c r="F61" s="5" t="s">
        <v>44</v>
      </c>
      <c r="G61" s="5" t="s">
        <v>17</v>
      </c>
      <c r="H61" s="5" t="s">
        <v>18</v>
      </c>
      <c r="I61" s="24">
        <v>45621</v>
      </c>
      <c r="J61" s="24">
        <v>45986</v>
      </c>
      <c r="K61" s="24"/>
      <c r="L61" s="37" t="s">
        <v>397</v>
      </c>
      <c r="M61" s="31">
        <f t="shared" ca="1" si="0"/>
        <v>122</v>
      </c>
    </row>
    <row r="62" spans="1:13" ht="24" customHeight="1" x14ac:dyDescent="0.2">
      <c r="A62" s="71">
        <v>55</v>
      </c>
      <c r="B62" s="4"/>
      <c r="C62" s="5" t="s">
        <v>85</v>
      </c>
      <c r="D62" s="5">
        <v>66700001</v>
      </c>
      <c r="E62" s="9" t="s">
        <v>285</v>
      </c>
      <c r="F62" s="5" t="s">
        <v>44</v>
      </c>
      <c r="G62" s="5" t="s">
        <v>17</v>
      </c>
      <c r="H62" s="5" t="s">
        <v>18</v>
      </c>
      <c r="I62" s="24">
        <v>45621</v>
      </c>
      <c r="J62" s="24">
        <v>45986</v>
      </c>
      <c r="K62" s="24"/>
      <c r="L62" s="37" t="s">
        <v>397</v>
      </c>
      <c r="M62" s="31">
        <f t="shared" ca="1" si="0"/>
        <v>122</v>
      </c>
    </row>
    <row r="63" spans="1:13" ht="24" customHeight="1" x14ac:dyDescent="0.2">
      <c r="A63" s="91">
        <v>56</v>
      </c>
      <c r="B63" s="63"/>
      <c r="C63" s="60" t="s">
        <v>85</v>
      </c>
      <c r="D63" s="60" t="s">
        <v>90</v>
      </c>
      <c r="E63" s="61" t="s">
        <v>91</v>
      </c>
      <c r="F63" s="60" t="s">
        <v>44</v>
      </c>
      <c r="G63" s="60" t="s">
        <v>17</v>
      </c>
      <c r="H63" s="60" t="s">
        <v>18</v>
      </c>
      <c r="I63" s="62">
        <v>45206</v>
      </c>
      <c r="J63" s="62"/>
      <c r="K63" s="62"/>
      <c r="L63" s="106" t="s">
        <v>92</v>
      </c>
      <c r="M63" s="58">
        <f t="shared" ca="1" si="0"/>
        <v>-45864</v>
      </c>
    </row>
    <row r="64" spans="1:13" ht="24" customHeight="1" x14ac:dyDescent="0.2">
      <c r="A64" s="71">
        <v>57</v>
      </c>
      <c r="B64" s="5" t="s">
        <v>101</v>
      </c>
      <c r="C64" s="5" t="s">
        <v>93</v>
      </c>
      <c r="D64" s="5">
        <v>5329</v>
      </c>
      <c r="E64" s="9" t="s">
        <v>102</v>
      </c>
      <c r="F64" s="5" t="s">
        <v>94</v>
      </c>
      <c r="G64" s="5" t="s">
        <v>17</v>
      </c>
      <c r="H64" s="5" t="s">
        <v>18</v>
      </c>
      <c r="I64" s="24">
        <v>45760</v>
      </c>
      <c r="J64" s="24">
        <v>46125</v>
      </c>
      <c r="K64" s="24"/>
      <c r="L64" s="13"/>
      <c r="M64" s="31">
        <f t="shared" ca="1" si="0"/>
        <v>261</v>
      </c>
    </row>
    <row r="65" spans="1:13" ht="24" customHeight="1" x14ac:dyDescent="0.2">
      <c r="A65" s="71">
        <v>58</v>
      </c>
      <c r="B65" s="5" t="s">
        <v>262</v>
      </c>
      <c r="C65" s="5" t="s">
        <v>93</v>
      </c>
      <c r="D65" s="5"/>
      <c r="E65" s="9" t="s">
        <v>264</v>
      </c>
      <c r="F65" s="5" t="s">
        <v>94</v>
      </c>
      <c r="G65" s="5" t="s">
        <v>17</v>
      </c>
      <c r="H65" s="5" t="s">
        <v>18</v>
      </c>
      <c r="I65" s="24">
        <v>45619</v>
      </c>
      <c r="J65" s="24">
        <v>45984</v>
      </c>
      <c r="K65" s="24"/>
      <c r="L65" s="13"/>
      <c r="M65" s="31">
        <f t="shared" ca="1" si="0"/>
        <v>120</v>
      </c>
    </row>
    <row r="66" spans="1:13" ht="24" customHeight="1" x14ac:dyDescent="0.2">
      <c r="A66" s="71">
        <v>59</v>
      </c>
      <c r="B66" s="5" t="s">
        <v>263</v>
      </c>
      <c r="C66" s="5" t="s">
        <v>93</v>
      </c>
      <c r="D66" s="5"/>
      <c r="E66" s="9" t="s">
        <v>264</v>
      </c>
      <c r="F66" s="5" t="s">
        <v>94</v>
      </c>
      <c r="G66" s="5" t="s">
        <v>17</v>
      </c>
      <c r="H66" s="5" t="s">
        <v>18</v>
      </c>
      <c r="I66" s="24">
        <v>45619</v>
      </c>
      <c r="J66" s="24">
        <v>45984</v>
      </c>
      <c r="K66" s="24"/>
      <c r="L66" s="13"/>
      <c r="M66" s="31">
        <f t="shared" ca="1" si="0"/>
        <v>120</v>
      </c>
    </row>
    <row r="67" spans="1:13" ht="24" customHeight="1" x14ac:dyDescent="0.2">
      <c r="A67" s="71">
        <v>60</v>
      </c>
      <c r="B67" s="5" t="s">
        <v>282</v>
      </c>
      <c r="C67" s="5" t="s">
        <v>281</v>
      </c>
      <c r="D67" s="5">
        <v>5071057</v>
      </c>
      <c r="E67" s="9" t="s">
        <v>283</v>
      </c>
      <c r="F67" s="5" t="s">
        <v>100</v>
      </c>
      <c r="G67" s="5" t="s">
        <v>17</v>
      </c>
      <c r="H67" s="5" t="s">
        <v>18</v>
      </c>
      <c r="I67" s="24" t="s">
        <v>284</v>
      </c>
      <c r="J67" s="24">
        <v>45986</v>
      </c>
      <c r="K67" s="24"/>
      <c r="L67" s="13"/>
      <c r="M67" s="31">
        <f t="shared" ca="1" si="0"/>
        <v>122</v>
      </c>
    </row>
    <row r="68" spans="1:13" ht="24" customHeight="1" x14ac:dyDescent="0.2">
      <c r="A68" s="71">
        <v>61</v>
      </c>
      <c r="B68" s="4"/>
      <c r="C68" s="5" t="s">
        <v>95</v>
      </c>
      <c r="D68" s="5" t="s">
        <v>96</v>
      </c>
      <c r="E68" s="9" t="s">
        <v>312</v>
      </c>
      <c r="F68" s="5" t="s">
        <v>97</v>
      </c>
      <c r="G68" s="5" t="s">
        <v>17</v>
      </c>
      <c r="H68" s="5" t="s">
        <v>18</v>
      </c>
      <c r="I68" s="24">
        <v>45605</v>
      </c>
      <c r="J68" s="24">
        <v>45970</v>
      </c>
      <c r="K68" s="24"/>
      <c r="L68" s="13"/>
      <c r="M68" s="58">
        <f t="shared" ca="1" si="0"/>
        <v>106</v>
      </c>
    </row>
    <row r="69" spans="1:13" ht="24" customHeight="1" x14ac:dyDescent="0.2">
      <c r="A69" s="71">
        <v>62</v>
      </c>
      <c r="B69" s="5" t="s">
        <v>98</v>
      </c>
      <c r="C69" s="5" t="s">
        <v>95</v>
      </c>
      <c r="D69" s="5" t="s">
        <v>103</v>
      </c>
      <c r="E69" s="9" t="s">
        <v>99</v>
      </c>
      <c r="F69" s="5" t="s">
        <v>100</v>
      </c>
      <c r="G69" s="5" t="s">
        <v>17</v>
      </c>
      <c r="H69" s="5" t="s">
        <v>18</v>
      </c>
      <c r="I69" s="24">
        <v>45760</v>
      </c>
      <c r="J69" s="24">
        <v>46125</v>
      </c>
      <c r="K69" s="24"/>
      <c r="L69" s="13"/>
      <c r="M69" s="31">
        <f t="shared" ca="1" si="0"/>
        <v>261</v>
      </c>
    </row>
    <row r="70" spans="1:13" ht="24" customHeight="1" x14ac:dyDescent="0.2">
      <c r="A70" s="91">
        <v>63</v>
      </c>
      <c r="B70" s="60" t="s">
        <v>101</v>
      </c>
      <c r="C70" s="60" t="s">
        <v>95</v>
      </c>
      <c r="D70" s="60">
        <v>5309</v>
      </c>
      <c r="E70" s="61" t="s">
        <v>102</v>
      </c>
      <c r="F70" s="60" t="s">
        <v>94</v>
      </c>
      <c r="G70" s="60" t="s">
        <v>17</v>
      </c>
      <c r="H70" s="60" t="s">
        <v>18</v>
      </c>
      <c r="I70" s="100">
        <v>45395</v>
      </c>
      <c r="J70" s="100">
        <v>45760</v>
      </c>
      <c r="K70" s="100"/>
      <c r="L70" s="106" t="s">
        <v>92</v>
      </c>
      <c r="M70" s="31">
        <f t="shared" ca="1" si="0"/>
        <v>-104</v>
      </c>
    </row>
    <row r="71" spans="1:13" ht="24" customHeight="1" x14ac:dyDescent="0.2">
      <c r="A71" s="71">
        <v>64</v>
      </c>
      <c r="B71" s="5" t="s">
        <v>104</v>
      </c>
      <c r="C71" s="5" t="s">
        <v>95</v>
      </c>
      <c r="D71" s="5" t="s">
        <v>103</v>
      </c>
      <c r="E71" s="9" t="s">
        <v>99</v>
      </c>
      <c r="F71" s="5" t="s">
        <v>100</v>
      </c>
      <c r="G71" s="5" t="s">
        <v>17</v>
      </c>
      <c r="H71" s="5" t="s">
        <v>18</v>
      </c>
      <c r="I71" s="24">
        <v>45767</v>
      </c>
      <c r="J71" s="24">
        <v>46132</v>
      </c>
      <c r="K71" s="24"/>
      <c r="L71" s="13"/>
      <c r="M71" s="31">
        <f t="shared" ca="1" si="0"/>
        <v>268</v>
      </c>
    </row>
    <row r="72" spans="1:13" ht="24" customHeight="1" x14ac:dyDescent="0.2">
      <c r="A72" s="71">
        <v>65</v>
      </c>
      <c r="B72" s="5" t="s">
        <v>105</v>
      </c>
      <c r="C72" s="5" t="s">
        <v>95</v>
      </c>
      <c r="D72" s="5" t="s">
        <v>103</v>
      </c>
      <c r="E72" s="9" t="s">
        <v>99</v>
      </c>
      <c r="F72" s="5" t="s">
        <v>100</v>
      </c>
      <c r="G72" s="5" t="s">
        <v>17</v>
      </c>
      <c r="H72" s="5" t="s">
        <v>18</v>
      </c>
      <c r="I72" s="24">
        <v>45767</v>
      </c>
      <c r="J72" s="24">
        <v>46132</v>
      </c>
      <c r="K72" s="24"/>
      <c r="L72" s="13"/>
      <c r="M72" s="31">
        <f t="shared" ca="1" si="0"/>
        <v>268</v>
      </c>
    </row>
    <row r="73" spans="1:13" ht="24" customHeight="1" x14ac:dyDescent="0.2">
      <c r="A73" s="71">
        <v>66</v>
      </c>
      <c r="B73" s="5"/>
      <c r="C73" s="5" t="s">
        <v>95</v>
      </c>
      <c r="D73" s="5" t="s">
        <v>106</v>
      </c>
      <c r="E73" s="9" t="s">
        <v>107</v>
      </c>
      <c r="F73" s="5" t="s">
        <v>108</v>
      </c>
      <c r="G73" s="5" t="s">
        <v>17</v>
      </c>
      <c r="H73" s="5" t="s">
        <v>18</v>
      </c>
      <c r="I73" s="24">
        <v>45593</v>
      </c>
      <c r="J73" s="24">
        <v>45958</v>
      </c>
      <c r="K73" s="24"/>
      <c r="L73" s="13"/>
      <c r="M73" s="31">
        <f t="shared" ca="1" si="0"/>
        <v>94</v>
      </c>
    </row>
    <row r="74" spans="1:13" ht="24" customHeight="1" x14ac:dyDescent="0.2">
      <c r="A74" s="71">
        <v>67</v>
      </c>
      <c r="B74" s="5"/>
      <c r="C74" s="5" t="s">
        <v>95</v>
      </c>
      <c r="D74" s="5" t="s">
        <v>109</v>
      </c>
      <c r="E74" s="9" t="s">
        <v>107</v>
      </c>
      <c r="F74" s="5" t="s">
        <v>108</v>
      </c>
      <c r="G74" s="5" t="s">
        <v>17</v>
      </c>
      <c r="H74" s="5" t="s">
        <v>18</v>
      </c>
      <c r="I74" s="24">
        <v>45593</v>
      </c>
      <c r="J74" s="24">
        <v>45958</v>
      </c>
      <c r="K74" s="24"/>
      <c r="L74" s="13"/>
      <c r="M74" s="31">
        <f t="shared" ca="1" si="0"/>
        <v>94</v>
      </c>
    </row>
    <row r="75" spans="1:13" ht="24" customHeight="1" x14ac:dyDescent="0.2">
      <c r="A75" s="71">
        <v>68</v>
      </c>
      <c r="B75" s="5"/>
      <c r="C75" s="5" t="s">
        <v>221</v>
      </c>
      <c r="D75" s="5">
        <v>1100778043</v>
      </c>
      <c r="E75" s="9" t="s">
        <v>222</v>
      </c>
      <c r="F75" s="5" t="s">
        <v>223</v>
      </c>
      <c r="G75" s="5" t="s">
        <v>17</v>
      </c>
      <c r="H75" s="5" t="s">
        <v>51</v>
      </c>
      <c r="I75" s="24">
        <v>45725</v>
      </c>
      <c r="J75" s="24">
        <v>45909</v>
      </c>
      <c r="K75" s="24"/>
      <c r="L75" s="13"/>
      <c r="M75" s="58">
        <f t="shared" ref="M75:M80" ca="1" si="2">J75-M$5</f>
        <v>45</v>
      </c>
    </row>
    <row r="76" spans="1:13" ht="24" customHeight="1" x14ac:dyDescent="0.2">
      <c r="A76" s="71">
        <v>69</v>
      </c>
      <c r="B76" s="5"/>
      <c r="C76" s="5" t="s">
        <v>308</v>
      </c>
      <c r="D76" s="5" t="s">
        <v>311</v>
      </c>
      <c r="E76" s="9" t="s">
        <v>309</v>
      </c>
      <c r="F76" s="5" t="s">
        <v>310</v>
      </c>
      <c r="G76" s="5" t="s">
        <v>17</v>
      </c>
      <c r="H76" s="5" t="s">
        <v>51</v>
      </c>
      <c r="I76" s="24">
        <v>45643</v>
      </c>
      <c r="J76" s="24">
        <v>45825</v>
      </c>
      <c r="K76" s="24"/>
      <c r="L76" s="13"/>
      <c r="M76" s="58">
        <f t="shared" ca="1" si="2"/>
        <v>-39</v>
      </c>
    </row>
    <row r="77" spans="1:13" ht="24" customHeight="1" x14ac:dyDescent="0.2">
      <c r="A77" s="71">
        <v>70</v>
      </c>
      <c r="B77" s="5" t="s">
        <v>114</v>
      </c>
      <c r="C77" s="5" t="s">
        <v>113</v>
      </c>
      <c r="D77" s="5" t="s">
        <v>103</v>
      </c>
      <c r="E77" s="9" t="s">
        <v>115</v>
      </c>
      <c r="F77" s="5" t="s">
        <v>116</v>
      </c>
      <c r="G77" s="5" t="s">
        <v>17</v>
      </c>
      <c r="H77" s="5" t="s">
        <v>18</v>
      </c>
      <c r="I77" s="24">
        <v>45582</v>
      </c>
      <c r="J77" s="24">
        <v>45947</v>
      </c>
      <c r="K77" s="24"/>
      <c r="L77" s="13"/>
      <c r="M77" s="58">
        <f t="shared" ca="1" si="2"/>
        <v>83</v>
      </c>
    </row>
    <row r="78" spans="1:13" ht="24" customHeight="1" x14ac:dyDescent="0.2">
      <c r="A78" s="71">
        <v>71</v>
      </c>
      <c r="B78" s="5" t="s">
        <v>279</v>
      </c>
      <c r="C78" s="5" t="s">
        <v>277</v>
      </c>
      <c r="D78" s="5">
        <v>353992301</v>
      </c>
      <c r="E78" s="9" t="s">
        <v>278</v>
      </c>
      <c r="F78" s="5" t="s">
        <v>280</v>
      </c>
      <c r="G78" s="5" t="s">
        <v>17</v>
      </c>
      <c r="H78" s="5" t="s">
        <v>18</v>
      </c>
      <c r="I78" s="24">
        <v>45619</v>
      </c>
      <c r="J78" s="24">
        <v>45984</v>
      </c>
      <c r="K78" s="24"/>
      <c r="L78" s="13"/>
      <c r="M78" s="58">
        <f t="shared" ca="1" si="2"/>
        <v>120</v>
      </c>
    </row>
    <row r="79" spans="1:13" ht="24" customHeight="1" x14ac:dyDescent="0.2">
      <c r="A79" s="71">
        <v>72</v>
      </c>
      <c r="B79" s="5"/>
      <c r="C79" s="5" t="s">
        <v>237</v>
      </c>
      <c r="D79" s="5" t="s">
        <v>103</v>
      </c>
      <c r="E79" s="9" t="s">
        <v>238</v>
      </c>
      <c r="F79" s="5" t="s">
        <v>239</v>
      </c>
      <c r="G79" s="5" t="s">
        <v>17</v>
      </c>
      <c r="H79" s="5" t="s">
        <v>18</v>
      </c>
      <c r="I79" s="24">
        <v>45582</v>
      </c>
      <c r="J79" s="24">
        <v>45947</v>
      </c>
      <c r="K79" s="24"/>
      <c r="L79" s="13"/>
      <c r="M79" s="58">
        <f t="shared" ca="1" si="2"/>
        <v>83</v>
      </c>
    </row>
    <row r="80" spans="1:13" ht="24" customHeight="1" x14ac:dyDescent="0.2">
      <c r="A80" s="71">
        <v>73</v>
      </c>
      <c r="B80" s="5" t="s">
        <v>274</v>
      </c>
      <c r="C80" s="5" t="s">
        <v>240</v>
      </c>
      <c r="D80" s="5"/>
      <c r="E80" s="9" t="s">
        <v>275</v>
      </c>
      <c r="F80" s="5" t="s">
        <v>276</v>
      </c>
      <c r="G80" s="5" t="s">
        <v>17</v>
      </c>
      <c r="H80" s="5" t="s">
        <v>18</v>
      </c>
      <c r="I80" s="24">
        <v>45619</v>
      </c>
      <c r="J80" s="24">
        <v>45984</v>
      </c>
      <c r="K80" s="24"/>
      <c r="L80" s="13"/>
      <c r="M80" s="58">
        <f t="shared" ca="1" si="2"/>
        <v>120</v>
      </c>
    </row>
    <row r="81" spans="1:13" ht="24" customHeight="1" x14ac:dyDescent="0.2">
      <c r="A81" s="71">
        <v>74</v>
      </c>
      <c r="B81" s="5"/>
      <c r="C81" s="5" t="s">
        <v>240</v>
      </c>
      <c r="D81" s="5" t="s">
        <v>103</v>
      </c>
      <c r="E81" s="9" t="s">
        <v>241</v>
      </c>
      <c r="F81" s="5" t="s">
        <v>242</v>
      </c>
      <c r="G81" s="5" t="s">
        <v>17</v>
      </c>
      <c r="H81" s="5" t="s">
        <v>18</v>
      </c>
      <c r="I81" s="24">
        <v>45582</v>
      </c>
      <c r="J81" s="24">
        <v>45947</v>
      </c>
      <c r="K81" s="24"/>
      <c r="L81" s="13"/>
      <c r="M81" s="58">
        <f t="shared" ca="1" si="0"/>
        <v>83</v>
      </c>
    </row>
    <row r="82" spans="1:13" ht="24" customHeight="1" x14ac:dyDescent="0.2">
      <c r="A82" s="6"/>
      <c r="B82" s="5"/>
      <c r="C82" s="5"/>
      <c r="D82" s="5"/>
      <c r="E82" s="9"/>
      <c r="F82" s="5"/>
      <c r="G82" s="5"/>
      <c r="H82" s="5"/>
      <c r="I82" s="24"/>
      <c r="J82" s="24"/>
      <c r="K82" s="24"/>
      <c r="L82" s="13"/>
      <c r="M82" s="31">
        <f t="shared" ca="1" si="0"/>
        <v>-45864</v>
      </c>
    </row>
    <row r="83" spans="1:13" ht="24" customHeight="1" x14ac:dyDescent="0.2">
      <c r="A83" s="6"/>
      <c r="B83" s="5"/>
      <c r="C83" s="5"/>
      <c r="D83" s="5"/>
      <c r="E83" s="9"/>
      <c r="F83" s="5"/>
      <c r="G83" s="5"/>
      <c r="H83" s="5"/>
      <c r="I83" s="24"/>
      <c r="J83" s="24"/>
      <c r="K83" s="24"/>
      <c r="L83" s="13"/>
      <c r="M83" s="31">
        <f t="shared" ca="1" si="0"/>
        <v>-45864</v>
      </c>
    </row>
    <row r="84" spans="1:13" ht="24" customHeight="1" x14ac:dyDescent="0.2">
      <c r="A84" s="6"/>
      <c r="B84" s="4"/>
      <c r="C84" s="4"/>
      <c r="D84" s="5"/>
      <c r="E84" s="9"/>
      <c r="F84" s="5"/>
      <c r="G84" s="5"/>
      <c r="H84" s="5"/>
      <c r="I84" s="18"/>
      <c r="J84" s="18"/>
      <c r="K84" s="18"/>
      <c r="L84" s="12"/>
      <c r="M84" s="31">
        <f t="shared" ca="1" si="0"/>
        <v>-45864</v>
      </c>
    </row>
  </sheetData>
  <autoFilter ref="A6:O84" xr:uid="{95662847-DF1C-4181-8138-B092B35C4719}"/>
  <mergeCells count="4">
    <mergeCell ref="A2:L2"/>
    <mergeCell ref="B4:C4"/>
    <mergeCell ref="D4:L4"/>
    <mergeCell ref="A7:L7"/>
  </mergeCells>
  <phoneticPr fontId="26" type="noConversion"/>
  <printOptions horizontalCentered="1"/>
  <pageMargins left="0.27559055118110237" right="0.35433070866141736" top="0.19685039370078741" bottom="0.55118110236220474" header="0.19685039370078741" footer="0.15748031496062992"/>
  <pageSetup scale="75" orientation="landscape" r:id="rId1"/>
  <headerFooter>
    <oddFooter>&amp;LPágina &amp;P de &amp;N&amp;R&amp;"Arial,Negrita Cursiva"&amp;8FCG-002
Revisión: "3"
Fecha: 03/2017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theme="5" tint="0.59999389629810485"/>
  </sheetPr>
  <dimension ref="A1:O83"/>
  <sheetViews>
    <sheetView tabSelected="1" zoomScale="90" zoomScaleNormal="90" workbookViewId="0">
      <selection activeCell="L90" sqref="L90"/>
    </sheetView>
  </sheetViews>
  <sheetFormatPr baseColWidth="10" defaultRowHeight="12.75" x14ac:dyDescent="0.2"/>
  <cols>
    <col min="1" max="1" width="3.5703125" style="3" customWidth="1"/>
    <col min="2" max="2" width="11" style="1" customWidth="1"/>
    <col min="3" max="3" width="22.42578125" style="1" customWidth="1"/>
    <col min="4" max="4" width="17.85546875" style="3" customWidth="1"/>
    <col min="5" max="5" width="17.42578125" style="3" customWidth="1"/>
    <col min="6" max="6" width="13.7109375" style="3" customWidth="1"/>
    <col min="7" max="7" width="12.28515625" style="3" customWidth="1"/>
    <col min="8" max="8" width="17.85546875" style="3" customWidth="1"/>
    <col min="9" max="9" width="16.85546875" style="1" customWidth="1"/>
    <col min="10" max="10" width="17.140625" style="1" customWidth="1"/>
    <col min="11" max="11" width="14.42578125" style="1" customWidth="1"/>
    <col min="12" max="12" width="16.5703125" style="1" customWidth="1"/>
    <col min="13" max="13" width="9.5703125" style="1" customWidth="1"/>
    <col min="14" max="16384" width="11.42578125" style="1"/>
  </cols>
  <sheetData>
    <row r="1" spans="1:15" ht="15" x14ac:dyDescent="0.2"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5" ht="15" x14ac:dyDescent="0.2">
      <c r="A2" s="141" t="s">
        <v>12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</row>
    <row r="3" spans="1:15" ht="15" x14ac:dyDescent="0.2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5" ht="15.75" customHeight="1" x14ac:dyDescent="0.2">
      <c r="A4" s="1"/>
      <c r="B4" s="142" t="s">
        <v>8</v>
      </c>
      <c r="C4" s="142"/>
      <c r="D4" s="143" t="s">
        <v>29</v>
      </c>
      <c r="E4" s="144"/>
      <c r="F4" s="144"/>
      <c r="G4" s="144"/>
      <c r="H4" s="144"/>
      <c r="I4" s="144"/>
      <c r="J4" s="144"/>
      <c r="K4" s="144"/>
      <c r="L4" s="144"/>
    </row>
    <row r="5" spans="1:15" ht="13.5" thickBot="1" x14ac:dyDescent="0.25">
      <c r="J5" s="14" t="s">
        <v>0</v>
      </c>
      <c r="K5" s="14"/>
      <c r="L5" s="26"/>
      <c r="M5" s="30">
        <f ca="1">TODAY()</f>
        <v>45864</v>
      </c>
      <c r="N5" s="1" t="s">
        <v>13</v>
      </c>
    </row>
    <row r="6" spans="1:15" s="2" customFormat="1" ht="67.5" customHeight="1" thickBot="1" x14ac:dyDescent="0.3">
      <c r="A6" s="15" t="s">
        <v>1</v>
      </c>
      <c r="B6" s="16" t="s">
        <v>14</v>
      </c>
      <c r="C6" s="16" t="s">
        <v>2</v>
      </c>
      <c r="D6" s="16" t="s">
        <v>6</v>
      </c>
      <c r="E6" s="16" t="s">
        <v>5</v>
      </c>
      <c r="F6" s="16" t="s">
        <v>4</v>
      </c>
      <c r="G6" s="16" t="s">
        <v>3</v>
      </c>
      <c r="H6" s="16" t="s">
        <v>9</v>
      </c>
      <c r="I6" s="16" t="s">
        <v>10</v>
      </c>
      <c r="J6" s="16" t="s">
        <v>11</v>
      </c>
      <c r="K6" s="85" t="s">
        <v>313</v>
      </c>
      <c r="L6" s="17" t="s">
        <v>7</v>
      </c>
      <c r="M6" s="29"/>
      <c r="N6" s="10"/>
      <c r="O6" s="10"/>
    </row>
    <row r="7" spans="1:15" s="8" customFormat="1" ht="13.5" hidden="1" customHeight="1" x14ac:dyDescent="0.25">
      <c r="A7" s="148" t="s">
        <v>205</v>
      </c>
      <c r="B7" s="149"/>
      <c r="C7" s="149"/>
      <c r="D7" s="149"/>
      <c r="E7" s="149"/>
      <c r="F7" s="149"/>
      <c r="G7" s="149"/>
      <c r="H7" s="149"/>
      <c r="I7" s="149"/>
      <c r="J7" s="149"/>
      <c r="K7" s="149"/>
      <c r="L7" s="150"/>
      <c r="M7" s="7"/>
    </row>
    <row r="8" spans="1:15" s="8" customFormat="1" ht="24" hidden="1" customHeight="1" x14ac:dyDescent="0.25">
      <c r="A8" s="91">
        <v>1</v>
      </c>
      <c r="B8" s="60" t="s">
        <v>315</v>
      </c>
      <c r="C8" s="126" t="s">
        <v>126</v>
      </c>
      <c r="D8" s="60" t="s">
        <v>127</v>
      </c>
      <c r="E8" s="61" t="s">
        <v>128</v>
      </c>
      <c r="F8" s="60" t="s">
        <v>318</v>
      </c>
      <c r="G8" s="60" t="s">
        <v>17</v>
      </c>
      <c r="H8" s="60" t="s">
        <v>18</v>
      </c>
      <c r="I8" s="62">
        <v>45693</v>
      </c>
      <c r="J8" s="62">
        <v>46058</v>
      </c>
      <c r="K8" s="62" t="s">
        <v>314</v>
      </c>
      <c r="L8" s="122" t="s">
        <v>92</v>
      </c>
      <c r="M8" s="31">
        <f ca="1">J8-M$5</f>
        <v>194</v>
      </c>
      <c r="N8" s="7"/>
    </row>
    <row r="9" spans="1:15" s="8" customFormat="1" ht="24" hidden="1" customHeight="1" x14ac:dyDescent="0.25">
      <c r="A9" s="6">
        <v>2</v>
      </c>
      <c r="B9" s="5" t="s">
        <v>316</v>
      </c>
      <c r="C9" s="37" t="s">
        <v>126</v>
      </c>
      <c r="D9" s="5" t="s">
        <v>127</v>
      </c>
      <c r="E9" s="9" t="s">
        <v>128</v>
      </c>
      <c r="F9" s="5" t="s">
        <v>318</v>
      </c>
      <c r="G9" s="5" t="s">
        <v>17</v>
      </c>
      <c r="H9" s="5" t="s">
        <v>18</v>
      </c>
      <c r="I9" s="24">
        <v>45693</v>
      </c>
      <c r="J9" s="24">
        <v>46058</v>
      </c>
      <c r="K9" s="24" t="s">
        <v>314</v>
      </c>
      <c r="L9" s="11"/>
      <c r="M9" s="31">
        <f ca="1">J9-M$5</f>
        <v>194</v>
      </c>
      <c r="N9" s="7"/>
    </row>
    <row r="10" spans="1:15" s="7" customFormat="1" ht="39" hidden="1" customHeight="1" x14ac:dyDescent="0.25">
      <c r="A10" s="6">
        <v>3</v>
      </c>
      <c r="B10" s="57" t="s">
        <v>296</v>
      </c>
      <c r="C10" s="37" t="s">
        <v>126</v>
      </c>
      <c r="D10" s="5" t="s">
        <v>130</v>
      </c>
      <c r="E10" s="9" t="s">
        <v>131</v>
      </c>
      <c r="F10" s="5" t="s">
        <v>132</v>
      </c>
      <c r="G10" s="5" t="s">
        <v>17</v>
      </c>
      <c r="H10" s="5" t="s">
        <v>18</v>
      </c>
      <c r="I10" s="24">
        <v>45572</v>
      </c>
      <c r="J10" s="24">
        <v>45937</v>
      </c>
      <c r="K10" s="24" t="s">
        <v>314</v>
      </c>
      <c r="L10" s="127" t="s">
        <v>403</v>
      </c>
      <c r="M10" s="58">
        <f t="shared" ref="M10:M78" ca="1" si="0">J10-M$5</f>
        <v>73</v>
      </c>
    </row>
    <row r="11" spans="1:15" s="7" customFormat="1" ht="30.75" hidden="1" customHeight="1" x14ac:dyDescent="0.25">
      <c r="A11" s="6">
        <v>4</v>
      </c>
      <c r="B11" s="57" t="s">
        <v>295</v>
      </c>
      <c r="C11" s="37" t="s">
        <v>126</v>
      </c>
      <c r="D11" s="5" t="s">
        <v>127</v>
      </c>
      <c r="E11" s="9" t="s">
        <v>128</v>
      </c>
      <c r="F11" s="5" t="s">
        <v>129</v>
      </c>
      <c r="G11" s="5" t="s">
        <v>17</v>
      </c>
      <c r="H11" s="5" t="s">
        <v>18</v>
      </c>
      <c r="I11" s="24">
        <v>45735</v>
      </c>
      <c r="J11" s="24">
        <v>46100</v>
      </c>
      <c r="K11" s="24" t="s">
        <v>314</v>
      </c>
      <c r="L11" s="12"/>
      <c r="M11" s="31">
        <f t="shared" ca="1" si="0"/>
        <v>236</v>
      </c>
    </row>
    <row r="12" spans="1:15" s="7" customFormat="1" ht="37.5" hidden="1" customHeight="1" x14ac:dyDescent="0.25">
      <c r="A12" s="6">
        <v>5</v>
      </c>
      <c r="B12" s="5" t="s">
        <v>273</v>
      </c>
      <c r="C12" s="37" t="s">
        <v>126</v>
      </c>
      <c r="D12" s="81" t="s">
        <v>297</v>
      </c>
      <c r="E12" s="78" t="s">
        <v>128</v>
      </c>
      <c r="F12" s="5" t="s">
        <v>129</v>
      </c>
      <c r="G12" s="5" t="s">
        <v>382</v>
      </c>
      <c r="H12" s="5" t="s">
        <v>18</v>
      </c>
      <c r="I12" s="24">
        <v>45619</v>
      </c>
      <c r="J12" s="24">
        <v>45984</v>
      </c>
      <c r="K12" s="24" t="s">
        <v>314</v>
      </c>
      <c r="L12" s="12"/>
      <c r="M12" s="31">
        <f t="shared" ca="1" si="0"/>
        <v>120</v>
      </c>
    </row>
    <row r="13" spans="1:15" s="7" customFormat="1" ht="89.25" hidden="1" customHeight="1" x14ac:dyDescent="0.25">
      <c r="A13" s="6">
        <v>6</v>
      </c>
      <c r="B13" s="57" t="s">
        <v>383</v>
      </c>
      <c r="C13" s="37" t="s">
        <v>126</v>
      </c>
      <c r="D13" s="55" t="s">
        <v>384</v>
      </c>
      <c r="E13" s="78" t="s">
        <v>385</v>
      </c>
      <c r="F13" s="5" t="s">
        <v>318</v>
      </c>
      <c r="G13" s="5" t="s">
        <v>17</v>
      </c>
      <c r="H13" s="5" t="s">
        <v>18</v>
      </c>
      <c r="I13" s="24">
        <v>45746</v>
      </c>
      <c r="J13" s="24">
        <v>46111</v>
      </c>
      <c r="K13" s="24"/>
      <c r="L13" s="55" t="s">
        <v>386</v>
      </c>
      <c r="M13" s="31">
        <f t="shared" ca="1" si="0"/>
        <v>247</v>
      </c>
    </row>
    <row r="14" spans="1:15" s="7" customFormat="1" ht="34.5" hidden="1" customHeight="1" x14ac:dyDescent="0.25">
      <c r="A14" s="129">
        <v>7</v>
      </c>
      <c r="B14" s="101"/>
      <c r="C14" s="102" t="s">
        <v>133</v>
      </c>
      <c r="D14" s="103" t="s">
        <v>134</v>
      </c>
      <c r="E14" s="104" t="s">
        <v>45</v>
      </c>
      <c r="F14" s="97" t="s">
        <v>135</v>
      </c>
      <c r="G14" s="97" t="s">
        <v>17</v>
      </c>
      <c r="H14" s="97" t="s">
        <v>18</v>
      </c>
      <c r="I14" s="98">
        <v>45395</v>
      </c>
      <c r="J14" s="98">
        <v>45760</v>
      </c>
      <c r="K14" s="98"/>
      <c r="L14" s="99" t="s">
        <v>380</v>
      </c>
      <c r="M14" s="31">
        <f t="shared" ca="1" si="0"/>
        <v>-104</v>
      </c>
    </row>
    <row r="15" spans="1:15" s="7" customFormat="1" ht="34.5" hidden="1" customHeight="1" x14ac:dyDescent="0.25">
      <c r="A15" s="6">
        <v>8</v>
      </c>
      <c r="B15" s="34"/>
      <c r="C15" s="43" t="s">
        <v>136</v>
      </c>
      <c r="D15" s="54" t="s">
        <v>393</v>
      </c>
      <c r="E15" s="53" t="s">
        <v>137</v>
      </c>
      <c r="F15" s="5" t="s">
        <v>394</v>
      </c>
      <c r="G15" s="5" t="s">
        <v>17</v>
      </c>
      <c r="H15" s="5" t="s">
        <v>18</v>
      </c>
      <c r="I15" s="24">
        <v>45760</v>
      </c>
      <c r="J15" s="24">
        <v>46125</v>
      </c>
      <c r="K15" s="24" t="s">
        <v>314</v>
      </c>
      <c r="L15" s="12"/>
      <c r="M15" s="31">
        <f t="shared" ca="1" si="0"/>
        <v>261</v>
      </c>
    </row>
    <row r="16" spans="1:15" s="7" customFormat="1" ht="42" hidden="1" customHeight="1" x14ac:dyDescent="0.25">
      <c r="A16" s="6">
        <v>9</v>
      </c>
      <c r="B16" s="34"/>
      <c r="C16" s="43" t="s">
        <v>345</v>
      </c>
      <c r="D16" s="54" t="s">
        <v>344</v>
      </c>
      <c r="E16" s="89" t="s">
        <v>342</v>
      </c>
      <c r="F16" s="5" t="s">
        <v>343</v>
      </c>
      <c r="G16" s="5" t="s">
        <v>17</v>
      </c>
      <c r="H16" s="5" t="s">
        <v>18</v>
      </c>
      <c r="I16" s="24">
        <v>45728</v>
      </c>
      <c r="J16" s="24">
        <v>46093</v>
      </c>
      <c r="K16" s="24" t="s">
        <v>346</v>
      </c>
      <c r="L16" s="12"/>
      <c r="M16" s="31">
        <f t="shared" ca="1" si="0"/>
        <v>229</v>
      </c>
    </row>
    <row r="17" spans="1:13" s="7" customFormat="1" ht="42" hidden="1" customHeight="1" x14ac:dyDescent="0.25">
      <c r="A17" s="6">
        <v>10</v>
      </c>
      <c r="B17" s="34"/>
      <c r="C17" s="43" t="s">
        <v>347</v>
      </c>
      <c r="D17" s="54" t="s">
        <v>348</v>
      </c>
      <c r="E17" s="89" t="s">
        <v>342</v>
      </c>
      <c r="F17" s="5" t="s">
        <v>349</v>
      </c>
      <c r="G17" s="5" t="s">
        <v>17</v>
      </c>
      <c r="H17" s="5" t="s">
        <v>18</v>
      </c>
      <c r="I17" s="24">
        <v>45728</v>
      </c>
      <c r="J17" s="24">
        <v>46093</v>
      </c>
      <c r="K17" s="24" t="s">
        <v>346</v>
      </c>
      <c r="L17" s="12"/>
      <c r="M17" s="31">
        <f t="shared" ca="1" si="0"/>
        <v>229</v>
      </c>
    </row>
    <row r="18" spans="1:13" s="7" customFormat="1" ht="56.25" hidden="1" customHeight="1" x14ac:dyDescent="0.25">
      <c r="A18" s="6">
        <v>11</v>
      </c>
      <c r="B18" s="34"/>
      <c r="C18" s="44" t="s">
        <v>291</v>
      </c>
      <c r="D18" s="33" t="s">
        <v>292</v>
      </c>
      <c r="E18" s="68" t="s">
        <v>293</v>
      </c>
      <c r="F18" s="5" t="s">
        <v>294</v>
      </c>
      <c r="G18" s="5" t="s">
        <v>17</v>
      </c>
      <c r="H18" s="5" t="s">
        <v>18</v>
      </c>
      <c r="I18" s="24">
        <v>45629</v>
      </c>
      <c r="J18" s="24">
        <v>45994</v>
      </c>
      <c r="K18" s="24" t="s">
        <v>314</v>
      </c>
      <c r="L18" s="12"/>
      <c r="M18" s="31">
        <f t="shared" ca="1" si="0"/>
        <v>130</v>
      </c>
    </row>
    <row r="19" spans="1:13" s="7" customFormat="1" ht="56.25" hidden="1" customHeight="1" x14ac:dyDescent="0.25">
      <c r="A19" s="6">
        <v>12</v>
      </c>
      <c r="B19" s="34"/>
      <c r="C19" s="44" t="s">
        <v>401</v>
      </c>
      <c r="D19" s="54" t="s">
        <v>402</v>
      </c>
      <c r="E19" s="124" t="s">
        <v>399</v>
      </c>
      <c r="F19" s="73" t="s">
        <v>400</v>
      </c>
      <c r="G19" s="5" t="s">
        <v>17</v>
      </c>
      <c r="H19" s="5" t="s">
        <v>18</v>
      </c>
      <c r="I19" s="75">
        <v>45770</v>
      </c>
      <c r="J19" s="75">
        <v>46135</v>
      </c>
      <c r="K19" s="24"/>
      <c r="L19" s="12"/>
      <c r="M19" s="31">
        <f t="shared" ca="1" si="0"/>
        <v>271</v>
      </c>
    </row>
    <row r="20" spans="1:13" s="7" customFormat="1" ht="50.25" hidden="1" customHeight="1" x14ac:dyDescent="0.25">
      <c r="A20" s="6">
        <v>13</v>
      </c>
      <c r="B20" s="34"/>
      <c r="C20" s="125" t="s">
        <v>320</v>
      </c>
      <c r="D20" s="54" t="s">
        <v>243</v>
      </c>
      <c r="E20" s="68" t="s">
        <v>46</v>
      </c>
      <c r="F20" s="5" t="s">
        <v>319</v>
      </c>
      <c r="G20" s="5" t="s">
        <v>17</v>
      </c>
      <c r="H20" s="5" t="s">
        <v>18</v>
      </c>
      <c r="I20" s="24">
        <v>45693</v>
      </c>
      <c r="J20" s="24">
        <v>46058</v>
      </c>
      <c r="K20" s="24" t="s">
        <v>314</v>
      </c>
      <c r="L20" s="12"/>
      <c r="M20" s="58">
        <f t="shared" ca="1" si="0"/>
        <v>194</v>
      </c>
    </row>
    <row r="21" spans="1:13" s="7" customFormat="1" ht="50.25" hidden="1" customHeight="1" x14ac:dyDescent="0.25">
      <c r="A21" s="6">
        <v>14</v>
      </c>
      <c r="B21" s="70" t="s">
        <v>325</v>
      </c>
      <c r="C21" s="125" t="s">
        <v>328</v>
      </c>
      <c r="D21" s="54" t="s">
        <v>326</v>
      </c>
      <c r="E21" s="68"/>
      <c r="F21" s="88" t="s">
        <v>327</v>
      </c>
      <c r="G21" s="5" t="s">
        <v>17</v>
      </c>
      <c r="H21" s="5" t="s">
        <v>18</v>
      </c>
      <c r="I21" s="24">
        <v>45715</v>
      </c>
      <c r="J21" s="24">
        <v>46080</v>
      </c>
      <c r="K21" s="24"/>
      <c r="L21" s="12"/>
      <c r="M21" s="58">
        <f t="shared" ca="1" si="0"/>
        <v>216</v>
      </c>
    </row>
    <row r="22" spans="1:13" s="7" customFormat="1" ht="50.25" hidden="1" customHeight="1" x14ac:dyDescent="0.25">
      <c r="A22" s="6">
        <v>15</v>
      </c>
      <c r="B22" s="70" t="s">
        <v>329</v>
      </c>
      <c r="C22" s="87" t="s">
        <v>331</v>
      </c>
      <c r="D22" s="54" t="s">
        <v>330</v>
      </c>
      <c r="E22" s="68"/>
      <c r="F22" s="88" t="s">
        <v>332</v>
      </c>
      <c r="G22" s="5" t="s">
        <v>17</v>
      </c>
      <c r="H22" s="5" t="s">
        <v>18</v>
      </c>
      <c r="I22" s="24">
        <v>45715</v>
      </c>
      <c r="J22" s="24">
        <v>46080</v>
      </c>
      <c r="K22" s="24"/>
      <c r="L22" s="12"/>
      <c r="M22" s="58">
        <f t="shared" ca="1" si="0"/>
        <v>216</v>
      </c>
    </row>
    <row r="23" spans="1:13" s="7" customFormat="1" ht="50.25" hidden="1" customHeight="1" x14ac:dyDescent="0.25">
      <c r="A23" s="6">
        <v>16</v>
      </c>
      <c r="B23" s="70" t="s">
        <v>333</v>
      </c>
      <c r="C23" s="87" t="s">
        <v>334</v>
      </c>
      <c r="D23" s="54">
        <v>92512</v>
      </c>
      <c r="E23" s="68"/>
      <c r="F23" s="88" t="s">
        <v>335</v>
      </c>
      <c r="G23" s="5" t="s">
        <v>17</v>
      </c>
      <c r="H23" s="5" t="s">
        <v>18</v>
      </c>
      <c r="I23" s="24">
        <v>45715</v>
      </c>
      <c r="J23" s="24">
        <v>46080</v>
      </c>
      <c r="K23" s="24"/>
      <c r="L23" s="12"/>
      <c r="M23" s="58">
        <f t="shared" ca="1" si="0"/>
        <v>216</v>
      </c>
    </row>
    <row r="24" spans="1:13" s="7" customFormat="1" ht="50.25" hidden="1" customHeight="1" x14ac:dyDescent="0.25">
      <c r="A24" s="6">
        <v>17</v>
      </c>
      <c r="B24" s="70" t="s">
        <v>336</v>
      </c>
      <c r="C24" s="87" t="s">
        <v>337</v>
      </c>
      <c r="D24" s="54">
        <v>452408</v>
      </c>
      <c r="E24" s="68"/>
      <c r="F24" s="88" t="s">
        <v>335</v>
      </c>
      <c r="G24" s="5" t="s">
        <v>17</v>
      </c>
      <c r="H24" s="5" t="s">
        <v>18</v>
      </c>
      <c r="I24" s="24">
        <v>45715</v>
      </c>
      <c r="J24" s="24">
        <v>46080</v>
      </c>
      <c r="K24" s="24"/>
      <c r="L24" s="12"/>
      <c r="M24" s="58">
        <f t="shared" ca="1" si="0"/>
        <v>216</v>
      </c>
    </row>
    <row r="25" spans="1:13" s="7" customFormat="1" ht="50.25" hidden="1" customHeight="1" x14ac:dyDescent="0.25">
      <c r="A25" s="91">
        <v>18</v>
      </c>
      <c r="B25" s="113" t="s">
        <v>244</v>
      </c>
      <c r="C25" s="114" t="s">
        <v>247</v>
      </c>
      <c r="D25" s="115" t="s">
        <v>245</v>
      </c>
      <c r="E25" s="116" t="s">
        <v>46</v>
      </c>
      <c r="F25" s="60" t="s">
        <v>246</v>
      </c>
      <c r="G25" s="60" t="s">
        <v>17</v>
      </c>
      <c r="H25" s="60" t="s">
        <v>18</v>
      </c>
      <c r="I25" s="62">
        <v>45399</v>
      </c>
      <c r="J25" s="62">
        <v>45764</v>
      </c>
      <c r="K25" s="62" t="s">
        <v>314</v>
      </c>
      <c r="L25" s="117" t="s">
        <v>92</v>
      </c>
      <c r="M25" s="58">
        <f t="shared" ca="1" si="0"/>
        <v>-100</v>
      </c>
    </row>
    <row r="26" spans="1:13" s="7" customFormat="1" ht="50.25" hidden="1" customHeight="1" x14ac:dyDescent="0.25">
      <c r="A26" s="6">
        <v>19</v>
      </c>
      <c r="B26" s="70" t="s">
        <v>248</v>
      </c>
      <c r="C26" s="69" t="s">
        <v>249</v>
      </c>
      <c r="D26" s="54" t="s">
        <v>250</v>
      </c>
      <c r="E26" s="68" t="s">
        <v>46</v>
      </c>
      <c r="F26" s="5" t="s">
        <v>251</v>
      </c>
      <c r="G26" s="5" t="s">
        <v>17</v>
      </c>
      <c r="H26" s="5" t="s">
        <v>18</v>
      </c>
      <c r="I26" s="24">
        <v>45764</v>
      </c>
      <c r="J26" s="24">
        <v>46129</v>
      </c>
      <c r="K26" s="24" t="s">
        <v>314</v>
      </c>
      <c r="L26" s="12"/>
      <c r="M26" s="58">
        <f t="shared" ca="1" si="0"/>
        <v>265</v>
      </c>
    </row>
    <row r="27" spans="1:13" s="7" customFormat="1" ht="50.25" hidden="1" customHeight="1" x14ac:dyDescent="0.25">
      <c r="A27" s="6">
        <v>20</v>
      </c>
      <c r="B27" s="70" t="s">
        <v>256</v>
      </c>
      <c r="C27" s="69" t="s">
        <v>257</v>
      </c>
      <c r="D27" s="54" t="s">
        <v>258</v>
      </c>
      <c r="E27" s="68" t="s">
        <v>46</v>
      </c>
      <c r="F27" s="5" t="s">
        <v>259</v>
      </c>
      <c r="G27" s="5" t="s">
        <v>17</v>
      </c>
      <c r="H27" s="5" t="s">
        <v>18</v>
      </c>
      <c r="I27" s="24">
        <v>45610</v>
      </c>
      <c r="J27" s="24">
        <v>45975</v>
      </c>
      <c r="K27" s="24" t="s">
        <v>314</v>
      </c>
      <c r="L27" s="12"/>
      <c r="M27" s="58">
        <f t="shared" ca="1" si="0"/>
        <v>111</v>
      </c>
    </row>
    <row r="28" spans="1:13" s="7" customFormat="1" ht="50.25" hidden="1" customHeight="1" x14ac:dyDescent="0.25">
      <c r="A28" s="6">
        <v>21</v>
      </c>
      <c r="B28" s="70" t="s">
        <v>412</v>
      </c>
      <c r="C28" s="69" t="s">
        <v>414</v>
      </c>
      <c r="D28" s="54" t="s">
        <v>413</v>
      </c>
      <c r="E28" s="68" t="s">
        <v>302</v>
      </c>
      <c r="F28" s="5" t="s">
        <v>415</v>
      </c>
      <c r="G28" s="5" t="s">
        <v>17</v>
      </c>
      <c r="H28" s="5" t="s">
        <v>18</v>
      </c>
      <c r="I28" s="24">
        <v>45779</v>
      </c>
      <c r="J28" s="24">
        <v>46144</v>
      </c>
      <c r="K28" s="24"/>
      <c r="L28" s="12"/>
      <c r="M28" s="58">
        <f t="shared" ca="1" si="0"/>
        <v>280</v>
      </c>
    </row>
    <row r="29" spans="1:13" s="7" customFormat="1" ht="33" hidden="1" customHeight="1" x14ac:dyDescent="0.25">
      <c r="A29" s="6">
        <v>22</v>
      </c>
      <c r="B29" s="70" t="s">
        <v>298</v>
      </c>
      <c r="C29" s="69" t="s">
        <v>300</v>
      </c>
      <c r="D29" s="54">
        <v>482438</v>
      </c>
      <c r="E29" s="52" t="s">
        <v>302</v>
      </c>
      <c r="F29" s="5" t="s">
        <v>299</v>
      </c>
      <c r="G29" s="5" t="s">
        <v>17</v>
      </c>
      <c r="H29" s="5" t="s">
        <v>18</v>
      </c>
      <c r="I29" s="24">
        <v>45628</v>
      </c>
      <c r="J29" s="24">
        <v>45993</v>
      </c>
      <c r="K29" s="24" t="s">
        <v>314</v>
      </c>
      <c r="L29" s="12"/>
      <c r="M29" s="58">
        <f t="shared" ca="1" si="0"/>
        <v>129</v>
      </c>
    </row>
    <row r="30" spans="1:13" s="7" customFormat="1" ht="33" hidden="1" customHeight="1" x14ac:dyDescent="0.25">
      <c r="A30" s="91">
        <v>23</v>
      </c>
      <c r="B30" s="113" t="s">
        <v>303</v>
      </c>
      <c r="C30" s="114" t="s">
        <v>301</v>
      </c>
      <c r="D30" s="115">
        <v>382403</v>
      </c>
      <c r="E30" s="121" t="s">
        <v>302</v>
      </c>
      <c r="F30" s="60" t="s">
        <v>304</v>
      </c>
      <c r="G30" s="60" t="s">
        <v>17</v>
      </c>
      <c r="H30" s="60" t="s">
        <v>18</v>
      </c>
      <c r="I30" s="62">
        <v>45629</v>
      </c>
      <c r="J30" s="62">
        <v>45994</v>
      </c>
      <c r="K30" s="62" t="s">
        <v>314</v>
      </c>
      <c r="L30" s="123" t="s">
        <v>92</v>
      </c>
      <c r="M30" s="58">
        <f t="shared" ca="1" si="0"/>
        <v>130</v>
      </c>
    </row>
    <row r="31" spans="1:13" s="7" customFormat="1" ht="32.25" customHeight="1" x14ac:dyDescent="0.25">
      <c r="A31" s="6">
        <v>24</v>
      </c>
      <c r="B31" s="21"/>
      <c r="C31" s="45" t="s">
        <v>138</v>
      </c>
      <c r="D31" s="54" t="s">
        <v>139</v>
      </c>
      <c r="E31" s="41" t="s">
        <v>140</v>
      </c>
      <c r="F31" s="5" t="s">
        <v>141</v>
      </c>
      <c r="G31" s="5" t="s">
        <v>17</v>
      </c>
      <c r="H31" s="5" t="s">
        <v>18</v>
      </c>
      <c r="I31" s="24">
        <v>45593</v>
      </c>
      <c r="J31" s="24">
        <v>45958</v>
      </c>
      <c r="K31" s="24" t="s">
        <v>314</v>
      </c>
      <c r="L31" s="11"/>
      <c r="M31" s="31">
        <f t="shared" ca="1" si="0"/>
        <v>94</v>
      </c>
    </row>
    <row r="32" spans="1:13" s="7" customFormat="1" ht="39" customHeight="1" x14ac:dyDescent="0.2">
      <c r="A32" s="6">
        <v>25</v>
      </c>
      <c r="B32" s="21"/>
      <c r="C32" s="46" t="s">
        <v>138</v>
      </c>
      <c r="D32" s="118" t="s">
        <v>396</v>
      </c>
      <c r="E32" s="32" t="s">
        <v>142</v>
      </c>
      <c r="F32" s="41" t="s">
        <v>143</v>
      </c>
      <c r="G32" s="5" t="s">
        <v>17</v>
      </c>
      <c r="H32" s="5" t="s">
        <v>18</v>
      </c>
      <c r="I32" s="24">
        <v>45767</v>
      </c>
      <c r="J32" s="24">
        <v>46132</v>
      </c>
      <c r="K32" s="24" t="s">
        <v>314</v>
      </c>
      <c r="L32" s="27"/>
      <c r="M32" s="31">
        <f t="shared" ca="1" si="0"/>
        <v>268</v>
      </c>
    </row>
    <row r="33" spans="1:13" s="7" customFormat="1" ht="39" customHeight="1" x14ac:dyDescent="0.25">
      <c r="A33" s="6">
        <v>26</v>
      </c>
      <c r="B33" s="21"/>
      <c r="C33" s="46" t="s">
        <v>138</v>
      </c>
      <c r="D33" s="130" t="s">
        <v>404</v>
      </c>
      <c r="E33" s="128" t="s">
        <v>405</v>
      </c>
      <c r="F33" s="41" t="s">
        <v>406</v>
      </c>
      <c r="G33" s="5" t="s">
        <v>17</v>
      </c>
      <c r="H33" s="5" t="s">
        <v>18</v>
      </c>
      <c r="I33" s="24">
        <v>45771</v>
      </c>
      <c r="J33" s="24">
        <v>46136</v>
      </c>
      <c r="K33" s="86"/>
      <c r="L33" s="27"/>
      <c r="M33" s="31">
        <f t="shared" ca="1" si="0"/>
        <v>272</v>
      </c>
    </row>
    <row r="34" spans="1:13" s="7" customFormat="1" ht="39" customHeight="1" x14ac:dyDescent="0.25">
      <c r="A34" s="6"/>
      <c r="B34" s="21"/>
      <c r="C34" s="46" t="s">
        <v>138</v>
      </c>
      <c r="D34" s="130" t="s">
        <v>404</v>
      </c>
      <c r="E34" s="128" t="s">
        <v>405</v>
      </c>
      <c r="F34" s="41" t="s">
        <v>406</v>
      </c>
      <c r="G34" s="5" t="s">
        <v>17</v>
      </c>
      <c r="H34" s="5" t="s">
        <v>18</v>
      </c>
      <c r="I34" s="24">
        <v>45777</v>
      </c>
      <c r="J34" s="24">
        <v>46142</v>
      </c>
      <c r="K34" s="86"/>
      <c r="L34" s="27"/>
      <c r="M34" s="31">
        <f t="shared" ca="1" si="0"/>
        <v>278</v>
      </c>
    </row>
    <row r="35" spans="1:13" s="7" customFormat="1" ht="24" hidden="1" customHeight="1" x14ac:dyDescent="0.25">
      <c r="A35" s="6">
        <v>27</v>
      </c>
      <c r="B35" s="21"/>
      <c r="C35" s="41" t="s">
        <v>144</v>
      </c>
      <c r="D35" s="22" t="s">
        <v>45</v>
      </c>
      <c r="E35" s="41" t="s">
        <v>145</v>
      </c>
      <c r="F35" s="22" t="s">
        <v>146</v>
      </c>
      <c r="G35" s="5" t="s">
        <v>17</v>
      </c>
      <c r="H35" s="5" t="s">
        <v>18</v>
      </c>
      <c r="I35" s="24">
        <v>45227</v>
      </c>
      <c r="J35" s="24">
        <v>45593</v>
      </c>
      <c r="K35" s="86"/>
      <c r="L35" s="27"/>
      <c r="M35" s="65">
        <f t="shared" ca="1" si="0"/>
        <v>-271</v>
      </c>
    </row>
    <row r="36" spans="1:13" s="7" customFormat="1" ht="24" hidden="1" customHeight="1" x14ac:dyDescent="0.25">
      <c r="A36" s="6">
        <v>28</v>
      </c>
      <c r="B36" s="21"/>
      <c r="C36" s="41" t="s">
        <v>252</v>
      </c>
      <c r="D36" s="22" t="s">
        <v>45</v>
      </c>
      <c r="E36" s="41" t="s">
        <v>253</v>
      </c>
      <c r="F36" s="22" t="s">
        <v>146</v>
      </c>
      <c r="G36" s="5" t="s">
        <v>17</v>
      </c>
      <c r="H36" s="5" t="s">
        <v>18</v>
      </c>
      <c r="I36" s="24">
        <v>45227</v>
      </c>
      <c r="J36" s="24">
        <v>45593</v>
      </c>
      <c r="K36" s="86"/>
      <c r="L36" s="27"/>
      <c r="M36" s="65">
        <f t="shared" ca="1" si="0"/>
        <v>-271</v>
      </c>
    </row>
    <row r="37" spans="1:13" s="7" customFormat="1" ht="24" hidden="1" customHeight="1" x14ac:dyDescent="0.25">
      <c r="A37" s="6">
        <v>29</v>
      </c>
      <c r="B37" s="21" t="s">
        <v>460</v>
      </c>
      <c r="C37" s="41" t="s">
        <v>461</v>
      </c>
      <c r="D37" s="22">
        <v>19092000250</v>
      </c>
      <c r="E37" s="41" t="s">
        <v>464</v>
      </c>
      <c r="F37" s="22" t="s">
        <v>465</v>
      </c>
      <c r="G37" s="5" t="s">
        <v>17</v>
      </c>
      <c r="H37" s="5" t="s">
        <v>18</v>
      </c>
      <c r="I37" s="24">
        <v>45788</v>
      </c>
      <c r="J37" s="24">
        <v>46153</v>
      </c>
      <c r="K37" s="86" t="s">
        <v>314</v>
      </c>
      <c r="L37" s="27"/>
      <c r="M37" s="31">
        <f ca="1">J37-M$5</f>
        <v>289</v>
      </c>
    </row>
    <row r="38" spans="1:13" s="7" customFormat="1" ht="24" hidden="1" customHeight="1" x14ac:dyDescent="0.25">
      <c r="A38" s="6">
        <v>30</v>
      </c>
      <c r="B38" s="21" t="s">
        <v>462</v>
      </c>
      <c r="C38" s="41" t="s">
        <v>461</v>
      </c>
      <c r="D38" s="22">
        <v>19092000250</v>
      </c>
      <c r="E38" s="41" t="s">
        <v>464</v>
      </c>
      <c r="F38" s="22" t="s">
        <v>465</v>
      </c>
      <c r="G38" s="5" t="s">
        <v>17</v>
      </c>
      <c r="H38" s="5" t="s">
        <v>18</v>
      </c>
      <c r="I38" s="24">
        <v>45788</v>
      </c>
      <c r="J38" s="24">
        <v>46153</v>
      </c>
      <c r="K38" s="86" t="s">
        <v>314</v>
      </c>
      <c r="L38" s="27"/>
      <c r="M38" s="31">
        <f t="shared" ca="1" si="0"/>
        <v>289</v>
      </c>
    </row>
    <row r="39" spans="1:13" s="7" customFormat="1" ht="39" hidden="1" customHeight="1" x14ac:dyDescent="0.25">
      <c r="A39" s="6">
        <v>31</v>
      </c>
      <c r="B39" s="21" t="s">
        <v>463</v>
      </c>
      <c r="C39" s="41" t="s">
        <v>461</v>
      </c>
      <c r="D39" s="22">
        <v>19092000250</v>
      </c>
      <c r="E39" s="41" t="s">
        <v>464</v>
      </c>
      <c r="F39" s="22" t="s">
        <v>465</v>
      </c>
      <c r="G39" s="5" t="s">
        <v>17</v>
      </c>
      <c r="H39" s="5" t="s">
        <v>18</v>
      </c>
      <c r="I39" s="24">
        <v>45788</v>
      </c>
      <c r="J39" s="24">
        <v>46153</v>
      </c>
      <c r="K39" s="86" t="s">
        <v>314</v>
      </c>
      <c r="L39" s="27"/>
      <c r="M39" s="31">
        <f t="shared" ca="1" si="0"/>
        <v>289</v>
      </c>
    </row>
    <row r="40" spans="1:13" s="7" customFormat="1" ht="38.25" hidden="1" customHeight="1" x14ac:dyDescent="0.25">
      <c r="A40" s="6">
        <v>32</v>
      </c>
      <c r="B40" s="21"/>
      <c r="C40" s="40"/>
      <c r="D40" s="22"/>
      <c r="E40" s="41"/>
      <c r="F40" s="22"/>
      <c r="G40" s="5"/>
      <c r="H40" s="5"/>
      <c r="I40" s="24"/>
      <c r="J40" s="24"/>
      <c r="K40" s="86"/>
      <c r="L40" s="27"/>
      <c r="M40" s="31">
        <f t="shared" ca="1" si="0"/>
        <v>-45864</v>
      </c>
    </row>
    <row r="41" spans="1:13" s="7" customFormat="1" ht="37.5" hidden="1" customHeight="1" x14ac:dyDescent="0.25">
      <c r="A41" s="6">
        <v>33</v>
      </c>
      <c r="B41" s="21"/>
      <c r="C41" s="40"/>
      <c r="D41" s="22"/>
      <c r="E41" s="41"/>
      <c r="F41" s="22"/>
      <c r="G41" s="5"/>
      <c r="H41" s="5"/>
      <c r="I41" s="24"/>
      <c r="J41" s="24"/>
      <c r="K41" s="86"/>
      <c r="L41" s="27"/>
      <c r="M41" s="31">
        <f t="shared" ca="1" si="0"/>
        <v>-45864</v>
      </c>
    </row>
    <row r="42" spans="1:13" s="7" customFormat="1" ht="33" hidden="1" customHeight="1" x14ac:dyDescent="0.25">
      <c r="A42" s="6">
        <v>34</v>
      </c>
      <c r="B42" s="21"/>
      <c r="C42" s="41"/>
      <c r="D42" s="22"/>
      <c r="E42" s="41"/>
      <c r="F42" s="22"/>
      <c r="G42" s="5"/>
      <c r="H42" s="5"/>
      <c r="I42" s="24"/>
      <c r="J42" s="24"/>
      <c r="K42" s="86"/>
      <c r="L42" s="27"/>
      <c r="M42" s="31">
        <f t="shared" ca="1" si="0"/>
        <v>-45864</v>
      </c>
    </row>
    <row r="43" spans="1:13" s="7" customFormat="1" ht="29.25" hidden="1" customHeight="1" x14ac:dyDescent="0.25">
      <c r="A43" s="6">
        <v>35</v>
      </c>
      <c r="B43" s="21"/>
      <c r="C43" s="41"/>
      <c r="D43" s="22"/>
      <c r="E43" s="41"/>
      <c r="F43" s="41"/>
      <c r="G43" s="5"/>
      <c r="H43" s="5"/>
      <c r="I43" s="24"/>
      <c r="J43" s="24"/>
      <c r="K43" s="86"/>
      <c r="L43" s="25"/>
      <c r="M43" s="31">
        <f t="shared" ca="1" si="0"/>
        <v>-45864</v>
      </c>
    </row>
    <row r="44" spans="1:13" s="7" customFormat="1" ht="27" hidden="1" customHeight="1" x14ac:dyDescent="0.25">
      <c r="A44" s="6">
        <v>36</v>
      </c>
      <c r="B44" s="20"/>
      <c r="C44" s="41"/>
      <c r="D44" s="22"/>
      <c r="E44" s="41"/>
      <c r="F44" s="41"/>
      <c r="G44" s="5"/>
      <c r="H44" s="5"/>
      <c r="I44" s="24"/>
      <c r="J44" s="24"/>
      <c r="K44" s="24"/>
      <c r="L44" s="12"/>
      <c r="M44" s="31">
        <f t="shared" ca="1" si="0"/>
        <v>-45864</v>
      </c>
    </row>
    <row r="45" spans="1:13" s="7" customFormat="1" ht="24" hidden="1" customHeight="1" x14ac:dyDescent="0.25">
      <c r="A45" s="6">
        <v>37</v>
      </c>
      <c r="B45" s="20"/>
      <c r="C45" s="41"/>
      <c r="D45" s="22"/>
      <c r="E45" s="41"/>
      <c r="F45" s="41"/>
      <c r="G45" s="5"/>
      <c r="H45" s="5"/>
      <c r="I45" s="24"/>
      <c r="J45" s="24"/>
      <c r="K45" s="24"/>
      <c r="L45" s="12"/>
      <c r="M45" s="31">
        <f t="shared" ca="1" si="0"/>
        <v>-45864</v>
      </c>
    </row>
    <row r="46" spans="1:13" s="7" customFormat="1" ht="39" hidden="1" customHeight="1" x14ac:dyDescent="0.25">
      <c r="A46" s="6">
        <v>38</v>
      </c>
      <c r="B46" s="20"/>
      <c r="C46" s="5"/>
      <c r="D46" s="5"/>
      <c r="E46" s="9"/>
      <c r="F46" s="5"/>
      <c r="G46" s="5"/>
      <c r="H46" s="5"/>
      <c r="I46" s="24"/>
      <c r="J46" s="24"/>
      <c r="K46" s="24"/>
      <c r="L46" s="12"/>
      <c r="M46" s="31">
        <f t="shared" ca="1" si="0"/>
        <v>-45864</v>
      </c>
    </row>
    <row r="47" spans="1:13" ht="27" hidden="1" customHeight="1" x14ac:dyDescent="0.2">
      <c r="A47" s="6">
        <v>39</v>
      </c>
      <c r="B47" s="4"/>
      <c r="C47" s="5"/>
      <c r="D47" s="5"/>
      <c r="E47" s="9"/>
      <c r="F47" s="5"/>
      <c r="G47" s="5"/>
      <c r="H47" s="5"/>
      <c r="I47" s="24"/>
      <c r="J47" s="24"/>
      <c r="K47" s="24"/>
      <c r="L47" s="12"/>
      <c r="M47" s="31">
        <f t="shared" ca="1" si="0"/>
        <v>-45864</v>
      </c>
    </row>
    <row r="48" spans="1:13" ht="33.75" hidden="1" customHeight="1" x14ac:dyDescent="0.2">
      <c r="A48" s="6">
        <v>40</v>
      </c>
      <c r="B48" s="4"/>
      <c r="C48" s="5"/>
      <c r="D48" s="5"/>
      <c r="E48" s="9"/>
      <c r="F48" s="5"/>
      <c r="G48" s="5"/>
      <c r="H48" s="5"/>
      <c r="I48" s="24"/>
      <c r="J48" s="24"/>
      <c r="K48" s="24"/>
      <c r="L48" s="13"/>
      <c r="M48" s="31">
        <f t="shared" ca="1" si="0"/>
        <v>-45864</v>
      </c>
    </row>
    <row r="49" spans="1:13" ht="41.25" hidden="1" customHeight="1" x14ac:dyDescent="0.2">
      <c r="A49" s="6">
        <v>41</v>
      </c>
      <c r="B49" s="4"/>
      <c r="C49" s="5"/>
      <c r="D49" s="5"/>
      <c r="E49" s="9"/>
      <c r="F49" s="5"/>
      <c r="G49" s="5"/>
      <c r="H49" s="5"/>
      <c r="I49" s="24"/>
      <c r="J49" s="24"/>
      <c r="K49" s="24"/>
      <c r="L49" s="13"/>
      <c r="M49" s="31">
        <f t="shared" ca="1" si="0"/>
        <v>-45864</v>
      </c>
    </row>
    <row r="50" spans="1:13" ht="45.75" hidden="1" customHeight="1" x14ac:dyDescent="0.2">
      <c r="A50" s="6">
        <v>42</v>
      </c>
      <c r="B50" s="4"/>
      <c r="C50" s="5"/>
      <c r="D50" s="5"/>
      <c r="E50" s="9"/>
      <c r="F50" s="5"/>
      <c r="G50" s="5"/>
      <c r="H50" s="5"/>
      <c r="I50" s="24"/>
      <c r="J50" s="24"/>
      <c r="K50" s="24"/>
      <c r="L50" s="13"/>
      <c r="M50" s="31">
        <f t="shared" ca="1" si="0"/>
        <v>-45864</v>
      </c>
    </row>
    <row r="51" spans="1:13" ht="39.75" hidden="1" customHeight="1" x14ac:dyDescent="0.2">
      <c r="A51" s="6">
        <v>43</v>
      </c>
      <c r="B51" s="4"/>
      <c r="C51" s="5"/>
      <c r="D51" s="5"/>
      <c r="E51" s="9"/>
      <c r="F51" s="5"/>
      <c r="G51" s="5"/>
      <c r="H51" s="5"/>
      <c r="I51" s="24"/>
      <c r="J51" s="24"/>
      <c r="K51" s="24"/>
      <c r="L51" s="13"/>
      <c r="M51" s="31">
        <f t="shared" ca="1" si="0"/>
        <v>-45864</v>
      </c>
    </row>
    <row r="52" spans="1:13" ht="21.75" hidden="1" customHeight="1" x14ac:dyDescent="0.2">
      <c r="A52" s="6">
        <v>44</v>
      </c>
      <c r="B52" s="4"/>
      <c r="C52" s="5"/>
      <c r="D52" s="5"/>
      <c r="E52" s="9"/>
      <c r="F52" s="5"/>
      <c r="G52" s="5"/>
      <c r="H52" s="5"/>
      <c r="I52" s="24"/>
      <c r="J52" s="24"/>
      <c r="K52" s="24"/>
      <c r="L52" s="13"/>
      <c r="M52" s="31">
        <f t="shared" ca="1" si="0"/>
        <v>-45864</v>
      </c>
    </row>
    <row r="53" spans="1:13" ht="24" hidden="1" customHeight="1" x14ac:dyDescent="0.2">
      <c r="A53" s="6">
        <v>45</v>
      </c>
      <c r="B53" s="4"/>
      <c r="C53" s="5"/>
      <c r="D53" s="5"/>
      <c r="E53" s="9"/>
      <c r="F53" s="5"/>
      <c r="G53" s="5"/>
      <c r="H53" s="5"/>
      <c r="I53" s="24"/>
      <c r="J53" s="24"/>
      <c r="K53" s="24"/>
      <c r="L53" s="13"/>
      <c r="M53" s="31">
        <f t="shared" ca="1" si="0"/>
        <v>-45864</v>
      </c>
    </row>
    <row r="54" spans="1:13" ht="24" hidden="1" customHeight="1" x14ac:dyDescent="0.2">
      <c r="A54" s="6">
        <v>46</v>
      </c>
      <c r="B54" s="4"/>
      <c r="C54" s="5"/>
      <c r="D54" s="5"/>
      <c r="E54" s="9"/>
      <c r="F54" s="49"/>
      <c r="G54" s="5"/>
      <c r="H54" s="5"/>
      <c r="I54" s="24"/>
      <c r="J54" s="24"/>
      <c r="K54" s="24"/>
      <c r="L54" s="13"/>
      <c r="M54" s="31">
        <f t="shared" ca="1" si="0"/>
        <v>-45864</v>
      </c>
    </row>
    <row r="55" spans="1:13" ht="34.5" hidden="1" customHeight="1" x14ac:dyDescent="0.2">
      <c r="A55" s="6">
        <v>47</v>
      </c>
      <c r="B55" s="4"/>
      <c r="C55" s="5"/>
      <c r="D55" s="5"/>
      <c r="E55" s="9"/>
      <c r="F55" s="5"/>
      <c r="G55" s="5"/>
      <c r="H55" s="5"/>
      <c r="I55" s="24"/>
      <c r="J55" s="24"/>
      <c r="K55" s="24"/>
      <c r="L55" s="13"/>
      <c r="M55" s="31">
        <f t="shared" ca="1" si="0"/>
        <v>-45864</v>
      </c>
    </row>
    <row r="56" spans="1:13" ht="36" hidden="1" customHeight="1" x14ac:dyDescent="0.2">
      <c r="A56" s="6">
        <v>48</v>
      </c>
      <c r="B56" s="4"/>
      <c r="C56" s="5"/>
      <c r="D56" s="5"/>
      <c r="E56" s="9"/>
      <c r="F56" s="5"/>
      <c r="G56" s="5"/>
      <c r="H56" s="5"/>
      <c r="I56" s="24"/>
      <c r="J56" s="24"/>
      <c r="K56" s="24"/>
      <c r="L56" s="13"/>
      <c r="M56" s="31">
        <f t="shared" ca="1" si="0"/>
        <v>-45864</v>
      </c>
    </row>
    <row r="57" spans="1:13" ht="24" hidden="1" customHeight="1" x14ac:dyDescent="0.2">
      <c r="A57" s="6">
        <v>49</v>
      </c>
      <c r="B57" s="4"/>
      <c r="C57" s="5"/>
      <c r="D57" s="5"/>
      <c r="E57" s="9"/>
      <c r="F57" s="5"/>
      <c r="G57" s="5"/>
      <c r="H57" s="5"/>
      <c r="I57" s="24"/>
      <c r="J57" s="24"/>
      <c r="K57" s="24"/>
      <c r="L57" s="13"/>
      <c r="M57" s="31">
        <f t="shared" ca="1" si="0"/>
        <v>-45864</v>
      </c>
    </row>
    <row r="58" spans="1:13" ht="24" hidden="1" customHeight="1" x14ac:dyDescent="0.2">
      <c r="A58" s="6">
        <v>50</v>
      </c>
      <c r="B58" s="4"/>
      <c r="C58" s="5"/>
      <c r="D58" s="5"/>
      <c r="E58" s="9"/>
      <c r="F58" s="5"/>
      <c r="G58" s="5"/>
      <c r="H58" s="5"/>
      <c r="I58" s="24"/>
      <c r="J58" s="24"/>
      <c r="K58" s="24"/>
      <c r="L58" s="13"/>
      <c r="M58" s="31">
        <f t="shared" ca="1" si="0"/>
        <v>-45864</v>
      </c>
    </row>
    <row r="59" spans="1:13" ht="24" hidden="1" customHeight="1" x14ac:dyDescent="0.2">
      <c r="A59" s="6">
        <v>51</v>
      </c>
      <c r="B59" s="4"/>
      <c r="C59" s="5"/>
      <c r="D59" s="5"/>
      <c r="E59" s="9"/>
      <c r="F59" s="5"/>
      <c r="G59" s="5"/>
      <c r="H59" s="5"/>
      <c r="I59" s="24"/>
      <c r="J59" s="24"/>
      <c r="K59" s="24"/>
      <c r="L59" s="13"/>
      <c r="M59" s="31">
        <f t="shared" ca="1" si="0"/>
        <v>-45864</v>
      </c>
    </row>
    <row r="60" spans="1:13" ht="24" hidden="1" customHeight="1" x14ac:dyDescent="0.2">
      <c r="A60" s="6">
        <v>52</v>
      </c>
      <c r="B60" s="4"/>
      <c r="C60" s="5"/>
      <c r="D60" s="5"/>
      <c r="E60" s="9"/>
      <c r="F60" s="5"/>
      <c r="G60" s="5"/>
      <c r="H60" s="5"/>
      <c r="I60" s="24"/>
      <c r="J60" s="24"/>
      <c r="K60" s="24"/>
      <c r="L60" s="13"/>
      <c r="M60" s="31">
        <f t="shared" ca="1" si="0"/>
        <v>-45864</v>
      </c>
    </row>
    <row r="61" spans="1:13" ht="24" hidden="1" customHeight="1" x14ac:dyDescent="0.2">
      <c r="A61" s="6">
        <v>53</v>
      </c>
      <c r="B61" s="4"/>
      <c r="C61" s="5"/>
      <c r="D61" s="5"/>
      <c r="E61" s="9"/>
      <c r="F61" s="5"/>
      <c r="G61" s="5"/>
      <c r="H61" s="5"/>
      <c r="I61" s="24"/>
      <c r="J61" s="24"/>
      <c r="K61" s="24"/>
      <c r="L61" s="13"/>
      <c r="M61" s="31">
        <f t="shared" ca="1" si="0"/>
        <v>-45864</v>
      </c>
    </row>
    <row r="62" spans="1:13" ht="24" hidden="1" customHeight="1" x14ac:dyDescent="0.2">
      <c r="A62" s="6">
        <v>54</v>
      </c>
      <c r="B62" s="4"/>
      <c r="C62" s="5"/>
      <c r="D62" s="5"/>
      <c r="E62" s="9"/>
      <c r="F62" s="5"/>
      <c r="G62" s="5"/>
      <c r="H62" s="5"/>
      <c r="I62" s="24"/>
      <c r="J62" s="24"/>
      <c r="K62" s="24"/>
      <c r="L62" s="37"/>
      <c r="M62" s="31">
        <f t="shared" ca="1" si="0"/>
        <v>-45864</v>
      </c>
    </row>
    <row r="63" spans="1:13" ht="24" hidden="1" customHeight="1" x14ac:dyDescent="0.2">
      <c r="A63" s="6">
        <v>55</v>
      </c>
      <c r="B63" s="5"/>
      <c r="C63" s="5"/>
      <c r="D63" s="5"/>
      <c r="E63" s="9"/>
      <c r="F63" s="5"/>
      <c r="G63" s="5"/>
      <c r="H63" s="5"/>
      <c r="I63" s="24"/>
      <c r="J63" s="24"/>
      <c r="K63" s="24"/>
      <c r="L63" s="13"/>
      <c r="M63" s="31">
        <f t="shared" ca="1" si="0"/>
        <v>-45864</v>
      </c>
    </row>
    <row r="64" spans="1:13" ht="24" hidden="1" customHeight="1" x14ac:dyDescent="0.2">
      <c r="A64" s="6">
        <v>56</v>
      </c>
      <c r="B64" s="4"/>
      <c r="C64" s="5"/>
      <c r="D64" s="5"/>
      <c r="E64" s="9"/>
      <c r="F64" s="5"/>
      <c r="G64" s="5"/>
      <c r="H64" s="5"/>
      <c r="I64" s="24"/>
      <c r="J64" s="24"/>
      <c r="K64" s="24"/>
      <c r="L64" s="13"/>
      <c r="M64" s="31">
        <f t="shared" ca="1" si="0"/>
        <v>-45864</v>
      </c>
    </row>
    <row r="65" spans="1:13" ht="24" hidden="1" customHeight="1" x14ac:dyDescent="0.2">
      <c r="A65" s="6">
        <v>57</v>
      </c>
      <c r="B65" s="5"/>
      <c r="C65" s="5"/>
      <c r="D65" s="5"/>
      <c r="E65" s="9"/>
      <c r="F65" s="5"/>
      <c r="G65" s="5"/>
      <c r="H65" s="5"/>
      <c r="I65" s="24"/>
      <c r="J65" s="24"/>
      <c r="K65" s="24"/>
      <c r="L65" s="13"/>
      <c r="M65" s="31">
        <f t="shared" ca="1" si="0"/>
        <v>-45864</v>
      </c>
    </row>
    <row r="66" spans="1:13" ht="24" hidden="1" customHeight="1" x14ac:dyDescent="0.2">
      <c r="A66" s="6">
        <v>58</v>
      </c>
      <c r="B66" s="5"/>
      <c r="C66" s="5"/>
      <c r="D66" s="5"/>
      <c r="E66" s="9"/>
      <c r="F66" s="5"/>
      <c r="G66" s="5"/>
      <c r="H66" s="5"/>
      <c r="I66" s="24"/>
      <c r="J66" s="24"/>
      <c r="K66" s="24"/>
      <c r="L66" s="13"/>
      <c r="M66" s="31">
        <f t="shared" ca="1" si="0"/>
        <v>-45864</v>
      </c>
    </row>
    <row r="67" spans="1:13" ht="24" hidden="1" customHeight="1" x14ac:dyDescent="0.2">
      <c r="A67" s="6">
        <v>59</v>
      </c>
      <c r="B67" s="5"/>
      <c r="C67" s="5"/>
      <c r="D67" s="5"/>
      <c r="E67" s="9"/>
      <c r="F67" s="5"/>
      <c r="G67" s="5"/>
      <c r="H67" s="5"/>
      <c r="I67" s="24"/>
      <c r="J67" s="24"/>
      <c r="K67" s="24"/>
      <c r="L67" s="13"/>
      <c r="M67" s="31">
        <f t="shared" ca="1" si="0"/>
        <v>-45864</v>
      </c>
    </row>
    <row r="68" spans="1:13" ht="24" hidden="1" customHeight="1" x14ac:dyDescent="0.2">
      <c r="A68" s="6">
        <v>60</v>
      </c>
      <c r="B68" s="5"/>
      <c r="C68" s="5"/>
      <c r="D68" s="5"/>
      <c r="E68" s="9"/>
      <c r="F68" s="5"/>
      <c r="G68" s="5"/>
      <c r="H68" s="5"/>
      <c r="I68" s="24"/>
      <c r="J68" s="24"/>
      <c r="K68" s="24"/>
      <c r="L68" s="13"/>
      <c r="M68" s="31">
        <f t="shared" ca="1" si="0"/>
        <v>-45864</v>
      </c>
    </row>
    <row r="69" spans="1:13" ht="24" hidden="1" customHeight="1" x14ac:dyDescent="0.2">
      <c r="A69" s="6">
        <v>61</v>
      </c>
      <c r="B69" s="5"/>
      <c r="C69" s="5"/>
      <c r="D69" s="5"/>
      <c r="E69" s="9"/>
      <c r="F69" s="5"/>
      <c r="G69" s="5"/>
      <c r="H69" s="5"/>
      <c r="I69" s="24"/>
      <c r="J69" s="24"/>
      <c r="K69" s="24"/>
      <c r="L69" s="13"/>
      <c r="M69" s="31">
        <f t="shared" ca="1" si="0"/>
        <v>-45864</v>
      </c>
    </row>
    <row r="70" spans="1:13" ht="24" hidden="1" customHeight="1" x14ac:dyDescent="0.2">
      <c r="A70" s="6">
        <v>62</v>
      </c>
      <c r="B70" s="5"/>
      <c r="C70" s="5"/>
      <c r="D70" s="5"/>
      <c r="E70" s="9"/>
      <c r="F70" s="5"/>
      <c r="G70" s="5"/>
      <c r="H70" s="5"/>
      <c r="I70" s="24"/>
      <c r="J70" s="24"/>
      <c r="K70" s="24"/>
      <c r="L70" s="13"/>
      <c r="M70" s="31">
        <f t="shared" ca="1" si="0"/>
        <v>-45864</v>
      </c>
    </row>
    <row r="71" spans="1:13" ht="24" hidden="1" customHeight="1" x14ac:dyDescent="0.2">
      <c r="A71" s="6">
        <v>63</v>
      </c>
      <c r="B71" s="5"/>
      <c r="C71" s="5"/>
      <c r="D71" s="5"/>
      <c r="E71" s="9"/>
      <c r="F71" s="5"/>
      <c r="G71" s="5"/>
      <c r="H71" s="5"/>
      <c r="I71" s="24"/>
      <c r="J71" s="24"/>
      <c r="K71" s="24"/>
      <c r="L71" s="13"/>
      <c r="M71" s="31">
        <f t="shared" ca="1" si="0"/>
        <v>-45864</v>
      </c>
    </row>
    <row r="72" spans="1:13" ht="24" hidden="1" customHeight="1" x14ac:dyDescent="0.2">
      <c r="A72" s="6">
        <v>64</v>
      </c>
      <c r="B72" s="5"/>
      <c r="C72" s="5"/>
      <c r="D72" s="5"/>
      <c r="E72" s="9"/>
      <c r="F72" s="5"/>
      <c r="G72" s="5"/>
      <c r="H72" s="5"/>
      <c r="I72" s="24"/>
      <c r="J72" s="24"/>
      <c r="K72" s="24"/>
      <c r="L72" s="13"/>
      <c r="M72" s="31">
        <f t="shared" ca="1" si="0"/>
        <v>-45864</v>
      </c>
    </row>
    <row r="73" spans="1:13" ht="24" hidden="1" customHeight="1" x14ac:dyDescent="0.2">
      <c r="A73" s="6">
        <v>65</v>
      </c>
      <c r="B73" s="5"/>
      <c r="C73" s="5"/>
      <c r="D73" s="5"/>
      <c r="E73" s="9"/>
      <c r="F73" s="5"/>
      <c r="G73" s="5"/>
      <c r="H73" s="5"/>
      <c r="I73" s="24"/>
      <c r="J73" s="24"/>
      <c r="K73" s="24"/>
      <c r="L73" s="13"/>
      <c r="M73" s="31">
        <f t="shared" ca="1" si="0"/>
        <v>-45864</v>
      </c>
    </row>
    <row r="74" spans="1:13" ht="24" hidden="1" customHeight="1" x14ac:dyDescent="0.2">
      <c r="A74" s="6">
        <v>66</v>
      </c>
      <c r="B74" s="5"/>
      <c r="C74" s="5"/>
      <c r="D74" s="5"/>
      <c r="E74" s="9"/>
      <c r="F74" s="5"/>
      <c r="G74" s="5"/>
      <c r="H74" s="5"/>
      <c r="I74" s="24"/>
      <c r="J74" s="24"/>
      <c r="K74" s="24"/>
      <c r="L74" s="13"/>
      <c r="M74" s="31">
        <f t="shared" ca="1" si="0"/>
        <v>-45864</v>
      </c>
    </row>
    <row r="75" spans="1:13" ht="24" hidden="1" customHeight="1" x14ac:dyDescent="0.2">
      <c r="A75" s="6">
        <v>67</v>
      </c>
      <c r="B75" s="5"/>
      <c r="C75" s="5"/>
      <c r="D75" s="5"/>
      <c r="E75" s="9"/>
      <c r="F75" s="5"/>
      <c r="G75" s="5"/>
      <c r="H75" s="5"/>
      <c r="I75" s="24"/>
      <c r="J75" s="24"/>
      <c r="K75" s="24"/>
      <c r="L75" s="13"/>
      <c r="M75" s="31">
        <f t="shared" ca="1" si="0"/>
        <v>-45864</v>
      </c>
    </row>
    <row r="76" spans="1:13" ht="24" hidden="1" customHeight="1" x14ac:dyDescent="0.2">
      <c r="A76" s="6">
        <v>68</v>
      </c>
      <c r="B76" s="5"/>
      <c r="C76" s="5"/>
      <c r="D76" s="5"/>
      <c r="E76" s="9"/>
      <c r="F76" s="5"/>
      <c r="G76" s="5"/>
      <c r="H76" s="5"/>
      <c r="I76" s="24"/>
      <c r="J76" s="24"/>
      <c r="K76" s="24"/>
      <c r="L76" s="13"/>
      <c r="M76" s="31">
        <f t="shared" ca="1" si="0"/>
        <v>-45864</v>
      </c>
    </row>
    <row r="77" spans="1:13" ht="24" hidden="1" customHeight="1" x14ac:dyDescent="0.2">
      <c r="A77" s="6">
        <v>69</v>
      </c>
      <c r="B77" s="5"/>
      <c r="C77" s="5"/>
      <c r="D77" s="5"/>
      <c r="E77" s="9"/>
      <c r="F77" s="5"/>
      <c r="G77" s="5"/>
      <c r="H77" s="5"/>
      <c r="I77" s="24"/>
      <c r="J77" s="24"/>
      <c r="K77" s="24"/>
      <c r="L77" s="13"/>
      <c r="M77" s="31">
        <f t="shared" ca="1" si="0"/>
        <v>-45864</v>
      </c>
    </row>
    <row r="78" spans="1:13" ht="24" hidden="1" customHeight="1" x14ac:dyDescent="0.2">
      <c r="A78" s="6">
        <v>70</v>
      </c>
      <c r="B78" s="4"/>
      <c r="C78" s="4"/>
      <c r="D78" s="5"/>
      <c r="E78" s="9"/>
      <c r="F78" s="5"/>
      <c r="G78" s="5"/>
      <c r="H78" s="5"/>
      <c r="I78" s="18"/>
      <c r="J78" s="18"/>
      <c r="K78" s="18"/>
      <c r="L78" s="12"/>
      <c r="M78" s="31">
        <f t="shared" ca="1" si="0"/>
        <v>-45864</v>
      </c>
    </row>
    <row r="79" spans="1:13" hidden="1" x14ac:dyDescent="0.2">
      <c r="A79" s="6">
        <v>71</v>
      </c>
    </row>
    <row r="80" spans="1:13" hidden="1" x14ac:dyDescent="0.2">
      <c r="A80" s="6">
        <v>72</v>
      </c>
    </row>
    <row r="81" spans="1:1" x14ac:dyDescent="0.2">
      <c r="A81" s="79"/>
    </row>
    <row r="82" spans="1:1" x14ac:dyDescent="0.2">
      <c r="A82" s="79"/>
    </row>
    <row r="83" spans="1:1" x14ac:dyDescent="0.2">
      <c r="A83" s="79"/>
    </row>
  </sheetData>
  <autoFilter ref="A6:O80" xr:uid="{00000000-0001-0000-0000-000000000000}">
    <filterColumn colId="2">
      <filters>
        <filter val="Grilletes"/>
      </filters>
    </filterColumn>
  </autoFilter>
  <mergeCells count="4">
    <mergeCell ref="A2:L2"/>
    <mergeCell ref="A7:L7"/>
    <mergeCell ref="B4:C4"/>
    <mergeCell ref="D4:L4"/>
  </mergeCells>
  <phoneticPr fontId="11" type="noConversion"/>
  <printOptions horizontalCentered="1"/>
  <pageMargins left="0.27559055118110237" right="0.35433070866141736" top="0.19685039370078741" bottom="0.55118110236220474" header="0.19685039370078741" footer="0.15748031496062992"/>
  <pageSetup scale="75" orientation="landscape" r:id="rId1"/>
  <headerFooter>
    <oddFooter>&amp;LPágina &amp;P de &amp;N&amp;R&amp;"Arial,Negrita Cursiva"&amp;8FCG-002
Revisión: "3"
Fecha: 03/2017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B94D-C6C9-4A4A-82E6-576F0CAA4C2F}">
  <sheetPr>
    <tabColor rgb="FFFFC000"/>
  </sheetPr>
  <dimension ref="A1:O65"/>
  <sheetViews>
    <sheetView topLeftCell="A6" workbookViewId="0">
      <selection activeCell="J6" sqref="J6"/>
    </sheetView>
  </sheetViews>
  <sheetFormatPr baseColWidth="10" defaultRowHeight="12.75" x14ac:dyDescent="0.2"/>
  <cols>
    <col min="1" max="1" width="5.140625" style="3" customWidth="1"/>
    <col min="2" max="2" width="9" style="1" customWidth="1"/>
    <col min="3" max="3" width="19" style="1" customWidth="1"/>
    <col min="4" max="4" width="15.28515625" style="3" customWidth="1"/>
    <col min="5" max="5" width="11.5703125" style="3" customWidth="1"/>
    <col min="6" max="6" width="11.85546875" style="3" bestFit="1" customWidth="1"/>
    <col min="7" max="7" width="11.5703125" style="3" customWidth="1"/>
    <col min="8" max="8" width="18.28515625" style="3" customWidth="1"/>
    <col min="9" max="10" width="17.140625" style="1" customWidth="1"/>
    <col min="11" max="11" width="15" style="1" customWidth="1"/>
    <col min="12" max="12" width="18.28515625" style="1" customWidth="1"/>
    <col min="13" max="16384" width="11.42578125" style="1"/>
  </cols>
  <sheetData>
    <row r="1" spans="1:15" ht="15" x14ac:dyDescent="0.2"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5" ht="15" x14ac:dyDescent="0.2">
      <c r="A2" s="141" t="s">
        <v>12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</row>
    <row r="3" spans="1:15" ht="15" x14ac:dyDescent="0.2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5" ht="15.75" customHeight="1" x14ac:dyDescent="0.2">
      <c r="A4" s="1"/>
      <c r="B4" s="142" t="s">
        <v>8</v>
      </c>
      <c r="C4" s="142"/>
      <c r="D4" s="143" t="s">
        <v>29</v>
      </c>
      <c r="E4" s="144"/>
      <c r="F4" s="144"/>
      <c r="G4" s="144"/>
      <c r="H4" s="144"/>
      <c r="I4" s="144"/>
      <c r="J4" s="144"/>
      <c r="K4" s="144"/>
      <c r="L4" s="144"/>
    </row>
    <row r="5" spans="1:15" ht="13.5" thickBot="1" x14ac:dyDescent="0.25">
      <c r="J5" s="14" t="s">
        <v>0</v>
      </c>
      <c r="K5" s="14"/>
      <c r="L5" s="26"/>
      <c r="M5" s="30">
        <f ca="1">TODAY()</f>
        <v>45864</v>
      </c>
      <c r="N5" s="1" t="s">
        <v>13</v>
      </c>
    </row>
    <row r="6" spans="1:15" s="2" customFormat="1" ht="67.5" customHeight="1" thickBot="1" x14ac:dyDescent="0.3">
      <c r="A6" s="15" t="s">
        <v>1</v>
      </c>
      <c r="B6" s="16" t="s">
        <v>14</v>
      </c>
      <c r="C6" s="16" t="s">
        <v>2</v>
      </c>
      <c r="D6" s="16" t="s">
        <v>6</v>
      </c>
      <c r="E6" s="16" t="s">
        <v>5</v>
      </c>
      <c r="F6" s="16" t="s">
        <v>4</v>
      </c>
      <c r="G6" s="16" t="s">
        <v>3</v>
      </c>
      <c r="H6" s="16" t="s">
        <v>9</v>
      </c>
      <c r="I6" s="16" t="s">
        <v>10</v>
      </c>
      <c r="J6" s="16" t="s">
        <v>11</v>
      </c>
      <c r="K6" s="85" t="s">
        <v>313</v>
      </c>
      <c r="L6" s="17" t="s">
        <v>7</v>
      </c>
      <c r="M6" s="29"/>
      <c r="N6" s="10"/>
      <c r="O6" s="10"/>
    </row>
    <row r="7" spans="1:15" s="8" customFormat="1" ht="13.5" customHeight="1" x14ac:dyDescent="0.25">
      <c r="A7" s="151" t="s">
        <v>147</v>
      </c>
      <c r="B7" s="152"/>
      <c r="C7" s="152"/>
      <c r="D7" s="152"/>
      <c r="E7" s="152"/>
      <c r="F7" s="152"/>
      <c r="G7" s="152"/>
      <c r="H7" s="152"/>
      <c r="I7" s="152"/>
      <c r="J7" s="152"/>
      <c r="K7" s="152"/>
      <c r="L7" s="153"/>
      <c r="M7" s="7"/>
    </row>
    <row r="8" spans="1:15" s="8" customFormat="1" ht="24" customHeight="1" x14ac:dyDescent="0.25">
      <c r="A8" s="6">
        <v>1</v>
      </c>
      <c r="B8" s="19"/>
      <c r="C8" s="37" t="s">
        <v>350</v>
      </c>
      <c r="D8" s="5">
        <v>10081431</v>
      </c>
      <c r="E8" s="9" t="s">
        <v>351</v>
      </c>
      <c r="F8" s="5" t="s">
        <v>352</v>
      </c>
      <c r="G8" s="5" t="s">
        <v>353</v>
      </c>
      <c r="H8" s="5" t="s">
        <v>18</v>
      </c>
      <c r="I8" s="24">
        <v>45569</v>
      </c>
      <c r="J8" s="24">
        <v>45934</v>
      </c>
      <c r="K8" s="24"/>
      <c r="L8" s="11"/>
      <c r="M8" s="58">
        <f ca="1">J8-M$5</f>
        <v>70</v>
      </c>
      <c r="N8" s="7"/>
    </row>
    <row r="9" spans="1:15" s="8" customFormat="1" ht="24" customHeight="1" x14ac:dyDescent="0.25">
      <c r="A9" s="6">
        <v>2</v>
      </c>
      <c r="B9" s="19"/>
      <c r="C9" s="37" t="s">
        <v>148</v>
      </c>
      <c r="D9" s="5">
        <v>3641</v>
      </c>
      <c r="E9" s="9" t="s">
        <v>149</v>
      </c>
      <c r="F9" s="5" t="s">
        <v>150</v>
      </c>
      <c r="G9" s="5" t="s">
        <v>17</v>
      </c>
      <c r="H9" s="5" t="s">
        <v>18</v>
      </c>
      <c r="I9" s="24">
        <v>45544</v>
      </c>
      <c r="J9" s="24">
        <v>45909</v>
      </c>
      <c r="K9" s="24"/>
      <c r="L9" s="11"/>
      <c r="M9" s="58">
        <f ca="1">J9-M$5</f>
        <v>45</v>
      </c>
      <c r="N9" s="7"/>
    </row>
    <row r="10" spans="1:15" s="8" customFormat="1" ht="24" customHeight="1" x14ac:dyDescent="0.25">
      <c r="A10" s="6">
        <v>3</v>
      </c>
      <c r="B10" s="19" t="s">
        <v>408</v>
      </c>
      <c r="C10" s="37" t="s">
        <v>407</v>
      </c>
      <c r="D10" s="5" t="s">
        <v>409</v>
      </c>
      <c r="E10" s="9" t="s">
        <v>410</v>
      </c>
      <c r="F10" s="5" t="s">
        <v>411</v>
      </c>
      <c r="G10" s="5" t="s">
        <v>17</v>
      </c>
      <c r="H10" s="5" t="s">
        <v>18</v>
      </c>
      <c r="I10" s="24">
        <v>45771</v>
      </c>
      <c r="J10" s="24">
        <v>46136</v>
      </c>
      <c r="K10" s="24"/>
      <c r="L10" s="11"/>
      <c r="M10" s="58"/>
      <c r="N10" s="7"/>
    </row>
    <row r="11" spans="1:15" s="8" customFormat="1" ht="39.75" customHeight="1" x14ac:dyDescent="0.25">
      <c r="A11" s="6">
        <v>4</v>
      </c>
      <c r="B11" s="19" t="s">
        <v>339</v>
      </c>
      <c r="C11" s="37" t="s">
        <v>151</v>
      </c>
      <c r="D11" s="5">
        <v>10010267</v>
      </c>
      <c r="E11" s="9" t="s">
        <v>338</v>
      </c>
      <c r="F11" s="5" t="s">
        <v>254</v>
      </c>
      <c r="G11" s="5" t="s">
        <v>17</v>
      </c>
      <c r="H11" s="5" t="s">
        <v>18</v>
      </c>
      <c r="I11" s="24">
        <v>45715</v>
      </c>
      <c r="J11" s="24">
        <v>46080</v>
      </c>
      <c r="K11" s="24"/>
      <c r="L11" s="59" t="s">
        <v>363</v>
      </c>
      <c r="M11" s="58">
        <f t="shared" ref="M11:M13" ca="1" si="0">J11-M$5</f>
        <v>216</v>
      </c>
      <c r="N11" s="7"/>
    </row>
    <row r="12" spans="1:15" s="8" customFormat="1" ht="45.75" customHeight="1" x14ac:dyDescent="0.25">
      <c r="A12" s="6">
        <v>5</v>
      </c>
      <c r="B12" s="19" t="s">
        <v>340</v>
      </c>
      <c r="C12" s="37" t="s">
        <v>151</v>
      </c>
      <c r="D12" s="5">
        <v>10010267</v>
      </c>
      <c r="E12" s="9" t="s">
        <v>338</v>
      </c>
      <c r="F12" s="5" t="s">
        <v>254</v>
      </c>
      <c r="G12" s="5" t="s">
        <v>17</v>
      </c>
      <c r="H12" s="5" t="s">
        <v>18</v>
      </c>
      <c r="I12" s="24">
        <v>45715</v>
      </c>
      <c r="J12" s="24">
        <v>46080</v>
      </c>
      <c r="K12" s="24"/>
      <c r="L12" s="59" t="s">
        <v>363</v>
      </c>
      <c r="M12" s="58">
        <f t="shared" ca="1" si="0"/>
        <v>216</v>
      </c>
      <c r="N12" s="7"/>
    </row>
    <row r="13" spans="1:15" s="8" customFormat="1" ht="24" customHeight="1" x14ac:dyDescent="0.25">
      <c r="A13" s="6">
        <v>6</v>
      </c>
      <c r="B13" s="19" t="s">
        <v>341</v>
      </c>
      <c r="C13" s="37" t="s">
        <v>151</v>
      </c>
      <c r="D13" s="5">
        <v>10010267</v>
      </c>
      <c r="E13" s="9" t="s">
        <v>338</v>
      </c>
      <c r="F13" s="5" t="s">
        <v>254</v>
      </c>
      <c r="G13" s="5" t="s">
        <v>17</v>
      </c>
      <c r="H13" s="5" t="s">
        <v>18</v>
      </c>
      <c r="I13" s="24">
        <v>45715</v>
      </c>
      <c r="J13" s="24">
        <v>46080</v>
      </c>
      <c r="K13" s="24"/>
      <c r="L13" s="59" t="s">
        <v>363</v>
      </c>
      <c r="M13" s="58">
        <f t="shared" ca="1" si="0"/>
        <v>216</v>
      </c>
      <c r="N13" s="7"/>
    </row>
    <row r="14" spans="1:15" s="7" customFormat="1" ht="39" customHeight="1" x14ac:dyDescent="0.25">
      <c r="A14" s="6">
        <v>7</v>
      </c>
      <c r="B14" s="19"/>
      <c r="C14" s="37" t="s">
        <v>151</v>
      </c>
      <c r="D14" s="5">
        <v>189083189</v>
      </c>
      <c r="E14" s="9" t="s">
        <v>152</v>
      </c>
      <c r="F14" s="5" t="s">
        <v>153</v>
      </c>
      <c r="G14" s="5" t="s">
        <v>17</v>
      </c>
      <c r="H14" s="5" t="s">
        <v>18</v>
      </c>
      <c r="I14" s="24">
        <v>45378</v>
      </c>
      <c r="J14" s="24">
        <v>45743</v>
      </c>
      <c r="K14" s="24"/>
      <c r="L14" s="59" t="s">
        <v>365</v>
      </c>
      <c r="M14" s="31">
        <f t="shared" ref="M14:M65" ca="1" si="1">J14-M$5</f>
        <v>-121</v>
      </c>
    </row>
    <row r="15" spans="1:15" s="7" customFormat="1" ht="30.75" customHeight="1" x14ac:dyDescent="0.25">
      <c r="A15" s="6">
        <v>8</v>
      </c>
      <c r="B15" s="34"/>
      <c r="C15" s="37" t="s">
        <v>151</v>
      </c>
      <c r="D15" s="5" t="s">
        <v>154</v>
      </c>
      <c r="E15" s="9" t="s">
        <v>152</v>
      </c>
      <c r="F15" s="5" t="s">
        <v>153</v>
      </c>
      <c r="G15" s="5" t="s">
        <v>17</v>
      </c>
      <c r="H15" s="5" t="s">
        <v>18</v>
      </c>
      <c r="I15" s="24">
        <v>45630</v>
      </c>
      <c r="J15" s="24">
        <v>45995</v>
      </c>
      <c r="K15" s="24"/>
      <c r="L15" s="59" t="s">
        <v>364</v>
      </c>
      <c r="M15" s="58">
        <f t="shared" ca="1" si="1"/>
        <v>131</v>
      </c>
    </row>
    <row r="16" spans="1:15" s="7" customFormat="1" ht="34.5" customHeight="1" x14ac:dyDescent="0.25">
      <c r="A16" s="6">
        <v>9</v>
      </c>
      <c r="B16" s="34"/>
      <c r="C16" s="44" t="s">
        <v>155</v>
      </c>
      <c r="D16" s="33" t="s">
        <v>156</v>
      </c>
      <c r="E16" s="22" t="s">
        <v>157</v>
      </c>
      <c r="F16" s="5" t="s">
        <v>254</v>
      </c>
      <c r="G16" s="5" t="s">
        <v>17</v>
      </c>
      <c r="H16" s="5" t="s">
        <v>18</v>
      </c>
      <c r="I16" s="24">
        <v>45767</v>
      </c>
      <c r="J16" s="24">
        <v>46132</v>
      </c>
      <c r="K16" s="24"/>
      <c r="L16" s="133" t="s">
        <v>421</v>
      </c>
      <c r="M16" s="31">
        <f t="shared" ca="1" si="1"/>
        <v>268</v>
      </c>
    </row>
    <row r="17" spans="1:13" s="7" customFormat="1" ht="45.75" customHeight="1" x14ac:dyDescent="0.25">
      <c r="A17" s="6">
        <v>10</v>
      </c>
      <c r="B17" s="34"/>
      <c r="C17" s="44" t="s">
        <v>155</v>
      </c>
      <c r="D17" s="33" t="s">
        <v>158</v>
      </c>
      <c r="E17" s="53" t="s">
        <v>159</v>
      </c>
      <c r="F17" s="5" t="s">
        <v>160</v>
      </c>
      <c r="G17" s="5" t="s">
        <v>17</v>
      </c>
      <c r="H17" s="5" t="s">
        <v>18</v>
      </c>
      <c r="I17" s="24">
        <v>45547</v>
      </c>
      <c r="J17" s="24">
        <v>45912</v>
      </c>
      <c r="K17" s="24"/>
      <c r="L17" s="59" t="s">
        <v>367</v>
      </c>
      <c r="M17" s="58">
        <f t="shared" ca="1" si="1"/>
        <v>48</v>
      </c>
    </row>
    <row r="18" spans="1:13" s="7" customFormat="1" ht="48.75" customHeight="1" x14ac:dyDescent="0.25">
      <c r="A18" s="6">
        <v>11</v>
      </c>
      <c r="B18" s="21"/>
      <c r="C18" s="44" t="s">
        <v>155</v>
      </c>
      <c r="D18" s="33" t="s">
        <v>161</v>
      </c>
      <c r="E18" s="53" t="s">
        <v>162</v>
      </c>
      <c r="F18" s="5" t="s">
        <v>163</v>
      </c>
      <c r="G18" s="5" t="s">
        <v>17</v>
      </c>
      <c r="H18" s="5" t="s">
        <v>18</v>
      </c>
      <c r="I18" s="24">
        <v>45547</v>
      </c>
      <c r="J18" s="24">
        <v>45912</v>
      </c>
      <c r="K18" s="24"/>
      <c r="L18" s="59" t="s">
        <v>366</v>
      </c>
      <c r="M18" s="58">
        <f t="shared" ca="1" si="1"/>
        <v>48</v>
      </c>
    </row>
    <row r="19" spans="1:13" s="7" customFormat="1" ht="39" customHeight="1" x14ac:dyDescent="0.25">
      <c r="A19" s="6">
        <v>12</v>
      </c>
      <c r="B19" s="21"/>
      <c r="C19" s="46" t="s">
        <v>164</v>
      </c>
      <c r="D19" s="33">
        <v>2664</v>
      </c>
      <c r="E19" s="47" t="s">
        <v>165</v>
      </c>
      <c r="F19" s="41" t="s">
        <v>166</v>
      </c>
      <c r="G19" s="5" t="s">
        <v>17</v>
      </c>
      <c r="H19" s="5" t="s">
        <v>18</v>
      </c>
      <c r="I19" s="24">
        <v>45544</v>
      </c>
      <c r="J19" s="24">
        <v>45909</v>
      </c>
      <c r="K19" s="86"/>
      <c r="L19" s="27"/>
      <c r="M19" s="58">
        <f t="shared" ca="1" si="1"/>
        <v>45</v>
      </c>
    </row>
    <row r="20" spans="1:13" s="7" customFormat="1" ht="69.75" customHeight="1" x14ac:dyDescent="0.25">
      <c r="A20" s="6">
        <v>13</v>
      </c>
      <c r="B20" s="134" t="s">
        <v>416</v>
      </c>
      <c r="C20" s="46" t="s">
        <v>417</v>
      </c>
      <c r="D20" s="131" t="s">
        <v>418</v>
      </c>
      <c r="E20" s="128" t="s">
        <v>419</v>
      </c>
      <c r="F20" s="132" t="s">
        <v>420</v>
      </c>
      <c r="G20" s="5" t="s">
        <v>17</v>
      </c>
      <c r="H20" s="5" t="s">
        <v>18</v>
      </c>
      <c r="I20" s="24">
        <v>45779</v>
      </c>
      <c r="J20" s="24">
        <v>46144</v>
      </c>
      <c r="K20" s="86"/>
      <c r="L20" s="27"/>
      <c r="M20" s="58">
        <f t="shared" ca="1" si="1"/>
        <v>280</v>
      </c>
    </row>
    <row r="21" spans="1:13" s="7" customFormat="1" ht="24" customHeight="1" x14ac:dyDescent="0.25">
      <c r="A21" s="6">
        <v>14</v>
      </c>
      <c r="B21" s="21" t="s">
        <v>260</v>
      </c>
      <c r="C21" s="41" t="s">
        <v>167</v>
      </c>
      <c r="D21" s="41" t="s">
        <v>168</v>
      </c>
      <c r="E21" s="41" t="s">
        <v>169</v>
      </c>
      <c r="F21" s="22" t="s">
        <v>170</v>
      </c>
      <c r="G21" s="5" t="s">
        <v>17</v>
      </c>
      <c r="H21" s="5" t="s">
        <v>18</v>
      </c>
      <c r="I21" s="24">
        <v>45598</v>
      </c>
      <c r="J21" s="24">
        <v>45963</v>
      </c>
      <c r="K21" s="86"/>
      <c r="L21" s="27"/>
      <c r="M21" s="58">
        <f t="shared" ca="1" si="1"/>
        <v>99</v>
      </c>
    </row>
    <row r="22" spans="1:13" s="7" customFormat="1" ht="31.5" customHeight="1" x14ac:dyDescent="0.25">
      <c r="A22" s="6">
        <v>15</v>
      </c>
      <c r="B22" s="21" t="s">
        <v>261</v>
      </c>
      <c r="C22" s="55" t="s">
        <v>171</v>
      </c>
      <c r="D22" s="48" t="s">
        <v>172</v>
      </c>
      <c r="E22" s="41" t="s">
        <v>173</v>
      </c>
      <c r="F22" s="22" t="s">
        <v>174</v>
      </c>
      <c r="G22" s="5" t="s">
        <v>17</v>
      </c>
      <c r="H22" s="5" t="s">
        <v>18</v>
      </c>
      <c r="I22" s="24">
        <v>45476</v>
      </c>
      <c r="J22" s="24">
        <v>45841</v>
      </c>
      <c r="K22" s="86"/>
      <c r="L22" s="27"/>
      <c r="M22" s="31">
        <f t="shared" ca="1" si="1"/>
        <v>-23</v>
      </c>
    </row>
    <row r="23" spans="1:13" s="7" customFormat="1" ht="31.5" customHeight="1" x14ac:dyDescent="0.25">
      <c r="A23" s="6">
        <v>16</v>
      </c>
      <c r="B23" s="21" t="s">
        <v>357</v>
      </c>
      <c r="C23" s="41" t="s">
        <v>354</v>
      </c>
      <c r="D23" s="68" t="s">
        <v>355</v>
      </c>
      <c r="E23" s="41" t="s">
        <v>356</v>
      </c>
      <c r="F23" s="22" t="s">
        <v>358</v>
      </c>
      <c r="G23" s="5" t="s">
        <v>359</v>
      </c>
      <c r="H23" s="5" t="s">
        <v>18</v>
      </c>
      <c r="I23" s="24">
        <v>45561</v>
      </c>
      <c r="J23" s="24">
        <v>45926</v>
      </c>
      <c r="K23" s="86"/>
      <c r="L23" s="27"/>
      <c r="M23" s="31">
        <f t="shared" ca="1" si="1"/>
        <v>62</v>
      </c>
    </row>
    <row r="24" spans="1:13" s="7" customFormat="1" ht="33.75" customHeight="1" x14ac:dyDescent="0.25">
      <c r="A24" s="6">
        <v>17</v>
      </c>
      <c r="B24" s="21" t="s">
        <v>255</v>
      </c>
      <c r="C24" s="41" t="s">
        <v>175</v>
      </c>
      <c r="D24" s="22" t="s">
        <v>176</v>
      </c>
      <c r="E24" s="41" t="s">
        <v>177</v>
      </c>
      <c r="F24" s="22" t="s">
        <v>178</v>
      </c>
      <c r="G24" s="5" t="s">
        <v>17</v>
      </c>
      <c r="H24" s="5" t="s">
        <v>18</v>
      </c>
      <c r="I24" s="24">
        <v>45597</v>
      </c>
      <c r="J24" s="24">
        <v>45962</v>
      </c>
      <c r="K24" s="86"/>
      <c r="L24" s="27"/>
      <c r="M24" s="58">
        <f t="shared" ca="1" si="1"/>
        <v>98</v>
      </c>
    </row>
    <row r="25" spans="1:13" s="7" customFormat="1" ht="24" customHeight="1" x14ac:dyDescent="0.25">
      <c r="A25" s="6">
        <v>18</v>
      </c>
      <c r="B25" s="21"/>
      <c r="C25" s="41" t="s">
        <v>456</v>
      </c>
      <c r="D25" s="22" t="s">
        <v>457</v>
      </c>
      <c r="E25" s="41" t="s">
        <v>458</v>
      </c>
      <c r="F25" s="23"/>
      <c r="G25" s="5"/>
      <c r="H25" s="5"/>
      <c r="I25" s="24"/>
      <c r="J25" s="24"/>
      <c r="K25" s="86"/>
      <c r="L25" s="27"/>
      <c r="M25" s="31">
        <f t="shared" ca="1" si="1"/>
        <v>-45864</v>
      </c>
    </row>
    <row r="26" spans="1:13" s="7" customFormat="1" ht="39" customHeight="1" x14ac:dyDescent="0.25">
      <c r="A26" s="6">
        <v>19</v>
      </c>
      <c r="B26" s="21"/>
      <c r="C26" s="40"/>
      <c r="D26" s="22"/>
      <c r="E26" s="41"/>
      <c r="F26" s="22"/>
      <c r="G26" s="5"/>
      <c r="H26" s="5"/>
      <c r="I26" s="24"/>
      <c r="J26" s="24"/>
      <c r="K26" s="86"/>
      <c r="L26" s="27"/>
      <c r="M26" s="31">
        <f t="shared" ca="1" si="1"/>
        <v>-45864</v>
      </c>
    </row>
    <row r="27" spans="1:13" s="7" customFormat="1" ht="38.25" customHeight="1" x14ac:dyDescent="0.25">
      <c r="A27" s="6">
        <v>20</v>
      </c>
      <c r="B27" s="21"/>
      <c r="C27" s="40"/>
      <c r="D27" s="22"/>
      <c r="E27" s="41"/>
      <c r="F27" s="22"/>
      <c r="G27" s="5"/>
      <c r="H27" s="5"/>
      <c r="I27" s="24"/>
      <c r="J27" s="24"/>
      <c r="K27" s="86"/>
      <c r="L27" s="27"/>
      <c r="M27" s="31">
        <f t="shared" ca="1" si="1"/>
        <v>-45864</v>
      </c>
    </row>
    <row r="28" spans="1:13" s="7" customFormat="1" ht="37.5" customHeight="1" x14ac:dyDescent="0.25">
      <c r="A28" s="6">
        <v>21</v>
      </c>
      <c r="B28" s="21"/>
      <c r="C28" s="40"/>
      <c r="D28" s="22"/>
      <c r="E28" s="41"/>
      <c r="F28" s="22"/>
      <c r="G28" s="5"/>
      <c r="H28" s="5"/>
      <c r="I28" s="24"/>
      <c r="J28" s="24"/>
      <c r="K28" s="86"/>
      <c r="L28" s="27"/>
      <c r="M28" s="31">
        <f t="shared" ca="1" si="1"/>
        <v>-45864</v>
      </c>
    </row>
    <row r="29" spans="1:13" s="7" customFormat="1" ht="33" customHeight="1" x14ac:dyDescent="0.25">
      <c r="A29" s="6">
        <v>22</v>
      </c>
      <c r="B29" s="21"/>
      <c r="C29" s="41"/>
      <c r="D29" s="22"/>
      <c r="E29" s="41"/>
      <c r="F29" s="22"/>
      <c r="G29" s="5"/>
      <c r="H29" s="5"/>
      <c r="I29" s="24"/>
      <c r="J29" s="24"/>
      <c r="K29" s="86"/>
      <c r="L29" s="27"/>
      <c r="M29" s="31">
        <f t="shared" ca="1" si="1"/>
        <v>-45864</v>
      </c>
    </row>
    <row r="30" spans="1:13" s="7" customFormat="1" ht="29.25" customHeight="1" x14ac:dyDescent="0.25">
      <c r="A30" s="6">
        <v>23</v>
      </c>
      <c r="B30" s="21"/>
      <c r="C30" s="41"/>
      <c r="D30" s="22"/>
      <c r="E30" s="41"/>
      <c r="F30" s="41"/>
      <c r="G30" s="5"/>
      <c r="H30" s="5"/>
      <c r="I30" s="24"/>
      <c r="J30" s="24"/>
      <c r="K30" s="86"/>
      <c r="L30" s="25"/>
      <c r="M30" s="31">
        <f t="shared" ca="1" si="1"/>
        <v>-45864</v>
      </c>
    </row>
    <row r="31" spans="1:13" s="7" customFormat="1" ht="27" customHeight="1" x14ac:dyDescent="0.25">
      <c r="A31" s="6">
        <v>24</v>
      </c>
      <c r="B31" s="20"/>
      <c r="C31" s="41"/>
      <c r="D31" s="22"/>
      <c r="E31" s="41"/>
      <c r="F31" s="41"/>
      <c r="G31" s="5"/>
      <c r="H31" s="5"/>
      <c r="I31" s="24"/>
      <c r="J31" s="24"/>
      <c r="K31" s="24"/>
      <c r="L31" s="12"/>
      <c r="M31" s="31">
        <f t="shared" ca="1" si="1"/>
        <v>-45864</v>
      </c>
    </row>
    <row r="32" spans="1:13" s="7" customFormat="1" ht="24" customHeight="1" x14ac:dyDescent="0.25">
      <c r="A32" s="6">
        <v>25</v>
      </c>
      <c r="B32" s="20"/>
      <c r="C32" s="41"/>
      <c r="D32" s="22"/>
      <c r="E32" s="41"/>
      <c r="F32" s="41"/>
      <c r="G32" s="5"/>
      <c r="H32" s="5"/>
      <c r="I32" s="24"/>
      <c r="J32" s="24"/>
      <c r="K32" s="24"/>
      <c r="L32" s="12"/>
      <c r="M32" s="31">
        <f t="shared" ca="1" si="1"/>
        <v>-45864</v>
      </c>
    </row>
    <row r="33" spans="1:13" s="7" customFormat="1" ht="39" customHeight="1" x14ac:dyDescent="0.25">
      <c r="A33" s="6">
        <v>26</v>
      </c>
      <c r="B33" s="20"/>
      <c r="C33" s="5"/>
      <c r="D33" s="5"/>
      <c r="E33" s="9"/>
      <c r="F33" s="5"/>
      <c r="G33" s="5"/>
      <c r="H33" s="5"/>
      <c r="I33" s="24"/>
      <c r="J33" s="24"/>
      <c r="K33" s="24"/>
      <c r="L33" s="12"/>
      <c r="M33" s="31">
        <f t="shared" ca="1" si="1"/>
        <v>-45864</v>
      </c>
    </row>
    <row r="34" spans="1:13" ht="27" customHeight="1" x14ac:dyDescent="0.2">
      <c r="A34" s="6">
        <v>27</v>
      </c>
      <c r="B34" s="4"/>
      <c r="C34" s="5"/>
      <c r="D34" s="5"/>
      <c r="E34" s="9"/>
      <c r="F34" s="5"/>
      <c r="G34" s="5"/>
      <c r="H34" s="5"/>
      <c r="I34" s="24"/>
      <c r="J34" s="24"/>
      <c r="K34" s="24"/>
      <c r="L34" s="12"/>
      <c r="M34" s="31">
        <f t="shared" ca="1" si="1"/>
        <v>-45864</v>
      </c>
    </row>
    <row r="35" spans="1:13" ht="33.75" customHeight="1" x14ac:dyDescent="0.2">
      <c r="A35" s="6">
        <v>28</v>
      </c>
      <c r="B35" s="4"/>
      <c r="C35" s="5"/>
      <c r="D35" s="5"/>
      <c r="E35" s="9"/>
      <c r="F35" s="5"/>
      <c r="G35" s="5"/>
      <c r="H35" s="5"/>
      <c r="I35" s="24"/>
      <c r="J35" s="24"/>
      <c r="K35" s="24"/>
      <c r="L35" s="13"/>
      <c r="M35" s="31">
        <f t="shared" ca="1" si="1"/>
        <v>-45864</v>
      </c>
    </row>
    <row r="36" spans="1:13" ht="41.25" customHeight="1" x14ac:dyDescent="0.2">
      <c r="A36" s="6">
        <v>29</v>
      </c>
      <c r="B36" s="4"/>
      <c r="C36" s="5"/>
      <c r="D36" s="5"/>
      <c r="E36" s="9"/>
      <c r="F36" s="5"/>
      <c r="G36" s="5"/>
      <c r="H36" s="5"/>
      <c r="I36" s="24"/>
      <c r="J36" s="24"/>
      <c r="K36" s="24"/>
      <c r="L36" s="13"/>
      <c r="M36" s="31">
        <f t="shared" ca="1" si="1"/>
        <v>-45864</v>
      </c>
    </row>
    <row r="37" spans="1:13" ht="45.75" customHeight="1" x14ac:dyDescent="0.2">
      <c r="A37" s="6">
        <v>30</v>
      </c>
      <c r="B37" s="4"/>
      <c r="C37" s="5"/>
      <c r="D37" s="5"/>
      <c r="E37" s="9"/>
      <c r="F37" s="5"/>
      <c r="G37" s="5"/>
      <c r="H37" s="5"/>
      <c r="I37" s="24"/>
      <c r="J37" s="24"/>
      <c r="K37" s="24"/>
      <c r="L37" s="13"/>
      <c r="M37" s="31">
        <f t="shared" ca="1" si="1"/>
        <v>-45864</v>
      </c>
    </row>
    <row r="38" spans="1:13" ht="39.75" customHeight="1" x14ac:dyDescent="0.2">
      <c r="A38" s="6">
        <v>31</v>
      </c>
      <c r="B38" s="4"/>
      <c r="C38" s="5"/>
      <c r="D38" s="5"/>
      <c r="E38" s="9"/>
      <c r="F38" s="5"/>
      <c r="G38" s="5"/>
      <c r="H38" s="5"/>
      <c r="I38" s="24"/>
      <c r="J38" s="24"/>
      <c r="K38" s="24"/>
      <c r="L38" s="13"/>
      <c r="M38" s="31">
        <f t="shared" ca="1" si="1"/>
        <v>-45864</v>
      </c>
    </row>
    <row r="39" spans="1:13" ht="21.75" customHeight="1" x14ac:dyDescent="0.2">
      <c r="A39" s="6">
        <v>32</v>
      </c>
      <c r="B39" s="4"/>
      <c r="C39" s="5"/>
      <c r="D39" s="5"/>
      <c r="E39" s="9"/>
      <c r="F39" s="5"/>
      <c r="G39" s="5"/>
      <c r="H39" s="5"/>
      <c r="I39" s="24"/>
      <c r="J39" s="24"/>
      <c r="K39" s="24"/>
      <c r="L39" s="13"/>
      <c r="M39" s="31">
        <f t="shared" ca="1" si="1"/>
        <v>-45864</v>
      </c>
    </row>
    <row r="40" spans="1:13" ht="24" customHeight="1" x14ac:dyDescent="0.2">
      <c r="A40" s="6">
        <v>33</v>
      </c>
      <c r="B40" s="4"/>
      <c r="C40" s="5"/>
      <c r="D40" s="5"/>
      <c r="E40" s="9"/>
      <c r="F40" s="5"/>
      <c r="G40" s="5"/>
      <c r="H40" s="5"/>
      <c r="I40" s="24"/>
      <c r="J40" s="24"/>
      <c r="K40" s="24"/>
      <c r="L40" s="13"/>
      <c r="M40" s="31">
        <f t="shared" ca="1" si="1"/>
        <v>-45864</v>
      </c>
    </row>
    <row r="41" spans="1:13" ht="24" customHeight="1" x14ac:dyDescent="0.2">
      <c r="A41" s="6">
        <v>34</v>
      </c>
      <c r="B41" s="4"/>
      <c r="C41" s="5"/>
      <c r="D41" s="5"/>
      <c r="E41" s="9"/>
      <c r="F41" s="49"/>
      <c r="G41" s="5"/>
      <c r="H41" s="5"/>
      <c r="I41" s="24"/>
      <c r="J41" s="24"/>
      <c r="K41" s="24"/>
      <c r="L41" s="13"/>
      <c r="M41" s="31">
        <f t="shared" ca="1" si="1"/>
        <v>-45864</v>
      </c>
    </row>
    <row r="42" spans="1:13" ht="34.5" customHeight="1" x14ac:dyDescent="0.2">
      <c r="A42" s="6">
        <v>35</v>
      </c>
      <c r="B42" s="4"/>
      <c r="C42" s="5"/>
      <c r="D42" s="5"/>
      <c r="E42" s="9"/>
      <c r="F42" s="5"/>
      <c r="G42" s="5"/>
      <c r="H42" s="5"/>
      <c r="I42" s="24"/>
      <c r="J42" s="24"/>
      <c r="K42" s="24"/>
      <c r="L42" s="13"/>
      <c r="M42" s="31">
        <f t="shared" ca="1" si="1"/>
        <v>-45864</v>
      </c>
    </row>
    <row r="43" spans="1:13" ht="36" customHeight="1" x14ac:dyDescent="0.2">
      <c r="A43" s="6">
        <v>36</v>
      </c>
      <c r="B43" s="4"/>
      <c r="C43" s="5"/>
      <c r="D43" s="5"/>
      <c r="E43" s="9"/>
      <c r="F43" s="5"/>
      <c r="G43" s="5"/>
      <c r="H43" s="5"/>
      <c r="I43" s="24"/>
      <c r="J43" s="24"/>
      <c r="K43" s="24"/>
      <c r="L43" s="13"/>
      <c r="M43" s="31">
        <f t="shared" ca="1" si="1"/>
        <v>-45864</v>
      </c>
    </row>
    <row r="44" spans="1:13" ht="24" customHeight="1" x14ac:dyDescent="0.2">
      <c r="A44" s="6">
        <v>37</v>
      </c>
      <c r="B44" s="4"/>
      <c r="C44" s="5"/>
      <c r="D44" s="5"/>
      <c r="E44" s="9"/>
      <c r="F44" s="5"/>
      <c r="G44" s="5"/>
      <c r="H44" s="5"/>
      <c r="I44" s="24"/>
      <c r="J44" s="24"/>
      <c r="K44" s="24"/>
      <c r="L44" s="13"/>
      <c r="M44" s="31">
        <f t="shared" ca="1" si="1"/>
        <v>-45864</v>
      </c>
    </row>
    <row r="45" spans="1:13" ht="24" customHeight="1" x14ac:dyDescent="0.2">
      <c r="A45" s="6">
        <v>38</v>
      </c>
      <c r="B45" s="4"/>
      <c r="C45" s="5"/>
      <c r="D45" s="5"/>
      <c r="E45" s="9"/>
      <c r="F45" s="5"/>
      <c r="G45" s="5"/>
      <c r="H45" s="5"/>
      <c r="I45" s="24"/>
      <c r="J45" s="24"/>
      <c r="K45" s="24"/>
      <c r="L45" s="13"/>
      <c r="M45" s="31">
        <f t="shared" ca="1" si="1"/>
        <v>-45864</v>
      </c>
    </row>
    <row r="46" spans="1:13" ht="24" customHeight="1" x14ac:dyDescent="0.2">
      <c r="A46" s="6">
        <v>39</v>
      </c>
      <c r="B46" s="4"/>
      <c r="C46" s="5"/>
      <c r="D46" s="5"/>
      <c r="E46" s="9"/>
      <c r="F46" s="5"/>
      <c r="G46" s="5"/>
      <c r="H46" s="5"/>
      <c r="I46" s="24"/>
      <c r="J46" s="24"/>
      <c r="K46" s="24"/>
      <c r="L46" s="13"/>
      <c r="M46" s="31">
        <f t="shared" ca="1" si="1"/>
        <v>-45864</v>
      </c>
    </row>
    <row r="47" spans="1:13" ht="24" customHeight="1" x14ac:dyDescent="0.2">
      <c r="A47" s="6">
        <v>40</v>
      </c>
      <c r="B47" s="4"/>
      <c r="C47" s="5"/>
      <c r="D47" s="5"/>
      <c r="E47" s="9"/>
      <c r="F47" s="5"/>
      <c r="G47" s="5"/>
      <c r="H47" s="5"/>
      <c r="I47" s="24"/>
      <c r="J47" s="24"/>
      <c r="K47" s="24"/>
      <c r="L47" s="13"/>
      <c r="M47" s="31">
        <f t="shared" ca="1" si="1"/>
        <v>-45864</v>
      </c>
    </row>
    <row r="48" spans="1:13" ht="24" customHeight="1" x14ac:dyDescent="0.2">
      <c r="A48" s="6">
        <v>41</v>
      </c>
      <c r="B48" s="4"/>
      <c r="C48" s="5"/>
      <c r="D48" s="5"/>
      <c r="E48" s="9"/>
      <c r="F48" s="5"/>
      <c r="G48" s="5"/>
      <c r="H48" s="5"/>
      <c r="I48" s="24"/>
      <c r="J48" s="24"/>
      <c r="K48" s="24"/>
      <c r="L48" s="13"/>
      <c r="M48" s="31">
        <f t="shared" ca="1" si="1"/>
        <v>-45864</v>
      </c>
    </row>
    <row r="49" spans="1:13" ht="24" customHeight="1" x14ac:dyDescent="0.2">
      <c r="A49" s="6">
        <v>42</v>
      </c>
      <c r="B49" s="4"/>
      <c r="C49" s="5"/>
      <c r="D49" s="5"/>
      <c r="E49" s="9"/>
      <c r="F49" s="5"/>
      <c r="G49" s="5"/>
      <c r="H49" s="5"/>
      <c r="I49" s="24"/>
      <c r="J49" s="24"/>
      <c r="K49" s="24"/>
      <c r="L49" s="37"/>
      <c r="M49" s="31">
        <f t="shared" ca="1" si="1"/>
        <v>-45864</v>
      </c>
    </row>
    <row r="50" spans="1:13" ht="24" customHeight="1" x14ac:dyDescent="0.2">
      <c r="A50" s="6">
        <v>43</v>
      </c>
      <c r="B50" s="5"/>
      <c r="C50" s="5"/>
      <c r="D50" s="5"/>
      <c r="E50" s="9"/>
      <c r="F50" s="5"/>
      <c r="G50" s="5"/>
      <c r="H50" s="5"/>
      <c r="I50" s="24"/>
      <c r="J50" s="24"/>
      <c r="K50" s="24"/>
      <c r="L50" s="13"/>
      <c r="M50" s="31">
        <f t="shared" ca="1" si="1"/>
        <v>-45864</v>
      </c>
    </row>
    <row r="51" spans="1:13" ht="24" customHeight="1" x14ac:dyDescent="0.2">
      <c r="A51" s="6">
        <v>44</v>
      </c>
      <c r="B51" s="4"/>
      <c r="C51" s="5"/>
      <c r="D51" s="5"/>
      <c r="E51" s="9"/>
      <c r="F51" s="5"/>
      <c r="G51" s="5"/>
      <c r="H51" s="5"/>
      <c r="I51" s="24"/>
      <c r="J51" s="24"/>
      <c r="K51" s="24"/>
      <c r="L51" s="13"/>
      <c r="M51" s="31">
        <f t="shared" ca="1" si="1"/>
        <v>-45864</v>
      </c>
    </row>
    <row r="52" spans="1:13" ht="24" customHeight="1" x14ac:dyDescent="0.2">
      <c r="A52" s="6">
        <v>45</v>
      </c>
      <c r="B52" s="5"/>
      <c r="C52" s="5"/>
      <c r="D52" s="5"/>
      <c r="E52" s="9"/>
      <c r="F52" s="5"/>
      <c r="G52" s="5"/>
      <c r="H52" s="5"/>
      <c r="I52" s="24"/>
      <c r="J52" s="24"/>
      <c r="K52" s="24"/>
      <c r="L52" s="13"/>
      <c r="M52" s="31">
        <f t="shared" ca="1" si="1"/>
        <v>-45864</v>
      </c>
    </row>
    <row r="53" spans="1:13" ht="24" customHeight="1" x14ac:dyDescent="0.2">
      <c r="A53" s="6">
        <v>46</v>
      </c>
      <c r="B53" s="5"/>
      <c r="C53" s="5"/>
      <c r="D53" s="5"/>
      <c r="E53" s="9"/>
      <c r="F53" s="5"/>
      <c r="G53" s="5"/>
      <c r="H53" s="5"/>
      <c r="I53" s="24"/>
      <c r="J53" s="24"/>
      <c r="K53" s="24"/>
      <c r="L53" s="13"/>
      <c r="M53" s="31">
        <f t="shared" ca="1" si="1"/>
        <v>-45864</v>
      </c>
    </row>
    <row r="54" spans="1:13" ht="24" customHeight="1" x14ac:dyDescent="0.2">
      <c r="A54" s="6">
        <v>47</v>
      </c>
      <c r="B54" s="5"/>
      <c r="C54" s="5"/>
      <c r="D54" s="5"/>
      <c r="E54" s="9"/>
      <c r="F54" s="5"/>
      <c r="G54" s="5"/>
      <c r="H54" s="5"/>
      <c r="I54" s="24"/>
      <c r="J54" s="24"/>
      <c r="K54" s="24"/>
      <c r="L54" s="13"/>
      <c r="M54" s="31">
        <f t="shared" ca="1" si="1"/>
        <v>-45864</v>
      </c>
    </row>
    <row r="55" spans="1:13" ht="24" customHeight="1" x14ac:dyDescent="0.2">
      <c r="A55" s="6">
        <v>48</v>
      </c>
      <c r="B55" s="5"/>
      <c r="C55" s="5"/>
      <c r="D55" s="5"/>
      <c r="E55" s="9"/>
      <c r="F55" s="5"/>
      <c r="G55" s="5"/>
      <c r="H55" s="5"/>
      <c r="I55" s="24"/>
      <c r="J55" s="24"/>
      <c r="K55" s="24"/>
      <c r="L55" s="13"/>
      <c r="M55" s="31">
        <f t="shared" ca="1" si="1"/>
        <v>-45864</v>
      </c>
    </row>
    <row r="56" spans="1:13" ht="24" customHeight="1" x14ac:dyDescent="0.2">
      <c r="A56" s="6">
        <v>49</v>
      </c>
      <c r="B56" s="5"/>
      <c r="C56" s="5"/>
      <c r="D56" s="5"/>
      <c r="E56" s="9"/>
      <c r="F56" s="5"/>
      <c r="G56" s="5"/>
      <c r="H56" s="5"/>
      <c r="I56" s="24"/>
      <c r="J56" s="24"/>
      <c r="K56" s="24"/>
      <c r="L56" s="13"/>
      <c r="M56" s="31">
        <f t="shared" ca="1" si="1"/>
        <v>-45864</v>
      </c>
    </row>
    <row r="57" spans="1:13" ht="24" customHeight="1" x14ac:dyDescent="0.2">
      <c r="A57" s="6">
        <v>50</v>
      </c>
      <c r="B57" s="5"/>
      <c r="C57" s="5"/>
      <c r="D57" s="5"/>
      <c r="E57" s="9"/>
      <c r="F57" s="5"/>
      <c r="G57" s="5"/>
      <c r="H57" s="5"/>
      <c r="I57" s="24"/>
      <c r="J57" s="24"/>
      <c r="K57" s="24"/>
      <c r="L57" s="13"/>
      <c r="M57" s="31">
        <f t="shared" ca="1" si="1"/>
        <v>-45864</v>
      </c>
    </row>
    <row r="58" spans="1:13" ht="24" customHeight="1" x14ac:dyDescent="0.2">
      <c r="A58" s="6">
        <v>51</v>
      </c>
      <c r="B58" s="5"/>
      <c r="C58" s="5"/>
      <c r="D58" s="5"/>
      <c r="E58" s="9"/>
      <c r="F58" s="5"/>
      <c r="G58" s="5"/>
      <c r="H58" s="5"/>
      <c r="I58" s="24"/>
      <c r="J58" s="24"/>
      <c r="K58" s="24"/>
      <c r="L58" s="13"/>
      <c r="M58" s="31">
        <f t="shared" ca="1" si="1"/>
        <v>-45864</v>
      </c>
    </row>
    <row r="59" spans="1:13" ht="24" customHeight="1" x14ac:dyDescent="0.2">
      <c r="A59" s="6">
        <v>52</v>
      </c>
      <c r="B59" s="5"/>
      <c r="C59" s="5"/>
      <c r="D59" s="5"/>
      <c r="E59" s="9"/>
      <c r="F59" s="5"/>
      <c r="G59" s="5"/>
      <c r="H59" s="5"/>
      <c r="I59" s="24"/>
      <c r="J59" s="24"/>
      <c r="K59" s="24"/>
      <c r="L59" s="13"/>
      <c r="M59" s="31">
        <f t="shared" ca="1" si="1"/>
        <v>-45864</v>
      </c>
    </row>
    <row r="60" spans="1:13" ht="24" customHeight="1" x14ac:dyDescent="0.2">
      <c r="A60" s="6">
        <v>53</v>
      </c>
      <c r="B60" s="5"/>
      <c r="C60" s="5"/>
      <c r="D60" s="5"/>
      <c r="E60" s="9"/>
      <c r="F60" s="5"/>
      <c r="G60" s="5"/>
      <c r="H60" s="5"/>
      <c r="I60" s="24"/>
      <c r="J60" s="24"/>
      <c r="K60" s="24"/>
      <c r="L60" s="13"/>
      <c r="M60" s="31">
        <f t="shared" ca="1" si="1"/>
        <v>-45864</v>
      </c>
    </row>
    <row r="61" spans="1:13" ht="24" customHeight="1" x14ac:dyDescent="0.2">
      <c r="A61" s="6">
        <v>54</v>
      </c>
      <c r="B61" s="5"/>
      <c r="C61" s="5"/>
      <c r="D61" s="5"/>
      <c r="E61" s="9"/>
      <c r="F61" s="5"/>
      <c r="G61" s="5"/>
      <c r="H61" s="5"/>
      <c r="I61" s="24"/>
      <c r="J61" s="24"/>
      <c r="K61" s="24"/>
      <c r="L61" s="13"/>
      <c r="M61" s="31">
        <f t="shared" ca="1" si="1"/>
        <v>-45864</v>
      </c>
    </row>
    <row r="62" spans="1:13" ht="24" customHeight="1" x14ac:dyDescent="0.2">
      <c r="A62" s="6"/>
      <c r="B62" s="5"/>
      <c r="C62" s="5"/>
      <c r="D62" s="5"/>
      <c r="E62" s="9"/>
      <c r="F62" s="5"/>
      <c r="G62" s="5"/>
      <c r="H62" s="5"/>
      <c r="I62" s="24"/>
      <c r="J62" s="24"/>
      <c r="K62" s="24"/>
      <c r="L62" s="13"/>
      <c r="M62" s="31">
        <f t="shared" ca="1" si="1"/>
        <v>-45864</v>
      </c>
    </row>
    <row r="63" spans="1:13" ht="24" customHeight="1" x14ac:dyDescent="0.2">
      <c r="A63" s="6"/>
      <c r="B63" s="5"/>
      <c r="C63" s="5"/>
      <c r="D63" s="5"/>
      <c r="E63" s="9"/>
      <c r="F63" s="5"/>
      <c r="G63" s="5"/>
      <c r="H63" s="5"/>
      <c r="I63" s="24"/>
      <c r="J63" s="24"/>
      <c r="K63" s="24"/>
      <c r="L63" s="13"/>
      <c r="M63" s="31">
        <f t="shared" ca="1" si="1"/>
        <v>-45864</v>
      </c>
    </row>
    <row r="64" spans="1:13" ht="24" customHeight="1" x14ac:dyDescent="0.2">
      <c r="A64" s="6"/>
      <c r="B64" s="5"/>
      <c r="C64" s="5"/>
      <c r="D64" s="5"/>
      <c r="E64" s="9"/>
      <c r="F64" s="5"/>
      <c r="G64" s="5"/>
      <c r="H64" s="5"/>
      <c r="I64" s="24"/>
      <c r="J64" s="24"/>
      <c r="K64" s="24"/>
      <c r="L64" s="13"/>
      <c r="M64" s="31">
        <f t="shared" ca="1" si="1"/>
        <v>-45864</v>
      </c>
    </row>
    <row r="65" spans="1:13" ht="24" customHeight="1" x14ac:dyDescent="0.2">
      <c r="A65" s="6"/>
      <c r="B65" s="4"/>
      <c r="C65" s="4"/>
      <c r="D65" s="5"/>
      <c r="E65" s="9"/>
      <c r="F65" s="5"/>
      <c r="G65" s="5"/>
      <c r="H65" s="5"/>
      <c r="I65" s="18"/>
      <c r="J65" s="18"/>
      <c r="K65" s="18"/>
      <c r="L65" s="12"/>
      <c r="M65" s="31">
        <f t="shared" ca="1" si="1"/>
        <v>-45864</v>
      </c>
    </row>
  </sheetData>
  <autoFilter ref="A6:O65" xr:uid="{2866B94D-C6C9-4A4A-82E6-576F0CAA4C2F}"/>
  <mergeCells count="4">
    <mergeCell ref="A2:L2"/>
    <mergeCell ref="B4:C4"/>
    <mergeCell ref="D4:L4"/>
    <mergeCell ref="A7:L7"/>
  </mergeCells>
  <printOptions horizontalCentered="1"/>
  <pageMargins left="0.27559055118110237" right="0.35433070866141736" top="0.19685039370078741" bottom="0.55118110236220474" header="0.19685039370078741" footer="0.15748031496062992"/>
  <pageSetup scale="75" orientation="landscape" r:id="rId1"/>
  <headerFooter>
    <oddFooter>&amp;LPágina &amp;P de &amp;N&amp;R&amp;"Arial,Negrita Cursiva"&amp;8FCG-002
Revisión: "3"
Fecha: 03/2017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DA45D-F9C3-4231-A2FA-FF1E3324D209}">
  <sheetPr>
    <tabColor theme="9" tint="0.59999389629810485"/>
  </sheetPr>
  <dimension ref="A1:N69"/>
  <sheetViews>
    <sheetView topLeftCell="A57" workbookViewId="0">
      <selection activeCell="I67" sqref="I67"/>
    </sheetView>
  </sheetViews>
  <sheetFormatPr baseColWidth="10" defaultRowHeight="12.75" x14ac:dyDescent="0.2"/>
  <cols>
    <col min="1" max="1" width="5.140625" style="3" customWidth="1"/>
    <col min="2" max="2" width="12.140625" style="1" customWidth="1"/>
    <col min="3" max="3" width="21.140625" style="1" customWidth="1"/>
    <col min="4" max="4" width="11.85546875" style="3" customWidth="1"/>
    <col min="5" max="5" width="11.5703125" style="3" customWidth="1"/>
    <col min="6" max="6" width="11.85546875" style="3" bestFit="1" customWidth="1"/>
    <col min="7" max="7" width="13.42578125" style="3" customWidth="1"/>
    <col min="8" max="8" width="18.5703125" style="3" customWidth="1"/>
    <col min="9" max="9" width="16.28515625" style="1" customWidth="1"/>
    <col min="10" max="10" width="17.140625" style="1" customWidth="1"/>
    <col min="11" max="11" width="23" style="1" customWidth="1"/>
    <col min="12" max="16384" width="11.42578125" style="1"/>
  </cols>
  <sheetData>
    <row r="1" spans="1:14" ht="15" x14ac:dyDescent="0.2"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4" ht="15" x14ac:dyDescent="0.2">
      <c r="A2" s="141" t="s">
        <v>12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</row>
    <row r="3" spans="1:14" ht="15" x14ac:dyDescent="0.2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</row>
    <row r="4" spans="1:14" ht="15.75" customHeight="1" x14ac:dyDescent="0.2">
      <c r="A4" s="1"/>
      <c r="B4" s="142" t="s">
        <v>8</v>
      </c>
      <c r="C4" s="142"/>
      <c r="D4" s="143" t="s">
        <v>29</v>
      </c>
      <c r="E4" s="144"/>
      <c r="F4" s="144"/>
      <c r="G4" s="144"/>
      <c r="H4" s="144"/>
      <c r="I4" s="144"/>
      <c r="J4" s="144"/>
      <c r="K4" s="144"/>
    </row>
    <row r="5" spans="1:14" ht="13.5" thickBot="1" x14ac:dyDescent="0.25">
      <c r="J5" s="14" t="s">
        <v>0</v>
      </c>
      <c r="K5" s="26"/>
      <c r="L5" s="30">
        <f ca="1">TODAY()</f>
        <v>45864</v>
      </c>
      <c r="M5" s="1" t="s">
        <v>13</v>
      </c>
    </row>
    <row r="6" spans="1:14" s="2" customFormat="1" ht="67.5" customHeight="1" thickBot="1" x14ac:dyDescent="0.3">
      <c r="A6" s="15" t="s">
        <v>1</v>
      </c>
      <c r="B6" s="90" t="s">
        <v>368</v>
      </c>
      <c r="C6" s="16" t="s">
        <v>2</v>
      </c>
      <c r="D6" s="16" t="s">
        <v>6</v>
      </c>
      <c r="E6" s="16" t="s">
        <v>191</v>
      </c>
      <c r="F6" s="16" t="s">
        <v>181</v>
      </c>
      <c r="G6" s="16" t="s">
        <v>3</v>
      </c>
      <c r="H6" s="16" t="s">
        <v>183</v>
      </c>
      <c r="I6" s="16" t="s">
        <v>185</v>
      </c>
      <c r="J6" s="16" t="s">
        <v>186</v>
      </c>
      <c r="K6" s="17" t="s">
        <v>7</v>
      </c>
      <c r="L6" s="29"/>
      <c r="M6" s="10"/>
      <c r="N6" s="10"/>
    </row>
    <row r="7" spans="1:14" s="8" customFormat="1" ht="13.5" customHeight="1" x14ac:dyDescent="0.25">
      <c r="A7" s="154" t="s">
        <v>212</v>
      </c>
      <c r="B7" s="155"/>
      <c r="C7" s="155"/>
      <c r="D7" s="155"/>
      <c r="E7" s="155"/>
      <c r="F7" s="155"/>
      <c r="G7" s="155"/>
      <c r="H7" s="155"/>
      <c r="I7" s="155"/>
      <c r="J7" s="155"/>
      <c r="K7" s="156"/>
      <c r="L7" s="7"/>
    </row>
    <row r="8" spans="1:14" s="8" customFormat="1" ht="24" customHeight="1" x14ac:dyDescent="0.25">
      <c r="A8" s="6">
        <v>1</v>
      </c>
      <c r="B8" s="19"/>
      <c r="C8" s="56" t="s">
        <v>179</v>
      </c>
      <c r="D8" s="5" t="s">
        <v>180</v>
      </c>
      <c r="E8" s="9" t="s">
        <v>377</v>
      </c>
      <c r="F8" s="5" t="s">
        <v>182</v>
      </c>
      <c r="G8" s="5" t="s">
        <v>17</v>
      </c>
      <c r="H8" s="5" t="s">
        <v>184</v>
      </c>
      <c r="I8" s="24"/>
      <c r="J8" s="24"/>
      <c r="K8" s="55" t="s">
        <v>195</v>
      </c>
      <c r="L8" s="31">
        <f t="shared" ref="L8:L19" ca="1" si="0">J8-L$5</f>
        <v>-45864</v>
      </c>
      <c r="M8" s="7"/>
    </row>
    <row r="9" spans="1:14" s="8" customFormat="1" ht="24" customHeight="1" x14ac:dyDescent="0.25">
      <c r="A9" s="6">
        <v>2</v>
      </c>
      <c r="B9" s="5">
        <v>13146</v>
      </c>
      <c r="C9" s="37" t="s">
        <v>187</v>
      </c>
      <c r="D9" s="22" t="s">
        <v>369</v>
      </c>
      <c r="E9" s="53" t="s">
        <v>193</v>
      </c>
      <c r="F9" s="5" t="s">
        <v>182</v>
      </c>
      <c r="G9" s="5" t="s">
        <v>17</v>
      </c>
      <c r="H9" s="5" t="s">
        <v>18</v>
      </c>
      <c r="I9" s="24">
        <v>45717</v>
      </c>
      <c r="J9" s="24">
        <v>46082</v>
      </c>
      <c r="K9" s="55" t="s">
        <v>201</v>
      </c>
      <c r="L9" s="31">
        <f t="shared" ca="1" si="0"/>
        <v>218</v>
      </c>
      <c r="M9" s="7"/>
    </row>
    <row r="10" spans="1:14" s="8" customFormat="1" ht="24" customHeight="1" x14ac:dyDescent="0.25">
      <c r="A10" s="6">
        <v>3</v>
      </c>
      <c r="B10" s="5">
        <v>13147</v>
      </c>
      <c r="C10" s="37" t="s">
        <v>187</v>
      </c>
      <c r="D10" s="22" t="s">
        <v>374</v>
      </c>
      <c r="E10" s="53" t="s">
        <v>193</v>
      </c>
      <c r="F10" s="5" t="s">
        <v>182</v>
      </c>
      <c r="G10" s="5" t="s">
        <v>17</v>
      </c>
      <c r="H10" s="5" t="s">
        <v>18</v>
      </c>
      <c r="I10" s="24">
        <v>45717</v>
      </c>
      <c r="J10" s="24">
        <v>46082</v>
      </c>
      <c r="K10" s="55" t="s">
        <v>197</v>
      </c>
      <c r="L10" s="31">
        <f t="shared" ca="1" si="0"/>
        <v>218</v>
      </c>
      <c r="M10" s="7"/>
    </row>
    <row r="11" spans="1:14" s="8" customFormat="1" ht="24" customHeight="1" x14ac:dyDescent="0.25">
      <c r="A11" s="6">
        <v>4</v>
      </c>
      <c r="B11" s="57">
        <v>13148</v>
      </c>
      <c r="C11" s="37" t="s">
        <v>187</v>
      </c>
      <c r="D11" s="33" t="s">
        <v>196</v>
      </c>
      <c r="E11" s="53" t="s">
        <v>193</v>
      </c>
      <c r="F11" s="5" t="s">
        <v>182</v>
      </c>
      <c r="G11" s="5" t="s">
        <v>17</v>
      </c>
      <c r="H11" s="5" t="s">
        <v>18</v>
      </c>
      <c r="I11" s="24">
        <v>45717</v>
      </c>
      <c r="J11" s="24">
        <v>46082</v>
      </c>
      <c r="K11" s="55" t="s">
        <v>197</v>
      </c>
      <c r="L11" s="31">
        <f t="shared" ca="1" si="0"/>
        <v>218</v>
      </c>
      <c r="M11" s="7"/>
    </row>
    <row r="12" spans="1:14" s="8" customFormat="1" ht="24" customHeight="1" x14ac:dyDescent="0.25">
      <c r="A12" s="6">
        <v>5</v>
      </c>
      <c r="B12" s="21">
        <v>13149</v>
      </c>
      <c r="C12" s="37" t="s">
        <v>187</v>
      </c>
      <c r="D12" s="22" t="s">
        <v>198</v>
      </c>
      <c r="E12" s="53" t="s">
        <v>193</v>
      </c>
      <c r="F12" s="5" t="s">
        <v>182</v>
      </c>
      <c r="G12" s="5" t="s">
        <v>17</v>
      </c>
      <c r="H12" s="5" t="s">
        <v>18</v>
      </c>
      <c r="I12" s="24">
        <v>45717</v>
      </c>
      <c r="J12" s="24">
        <v>46082</v>
      </c>
      <c r="K12" s="55" t="s">
        <v>197</v>
      </c>
      <c r="L12" s="31">
        <f t="shared" ca="1" si="0"/>
        <v>218</v>
      </c>
      <c r="M12" s="7"/>
    </row>
    <row r="13" spans="1:14" s="8" customFormat="1" ht="24" customHeight="1" x14ac:dyDescent="0.25">
      <c r="A13" s="6">
        <v>6</v>
      </c>
      <c r="B13" s="21">
        <v>13152</v>
      </c>
      <c r="C13" s="37" t="s">
        <v>187</v>
      </c>
      <c r="D13" s="22" t="s">
        <v>199</v>
      </c>
      <c r="E13" s="53" t="s">
        <v>193</v>
      </c>
      <c r="F13" s="5" t="s">
        <v>182</v>
      </c>
      <c r="G13" s="5" t="s">
        <v>17</v>
      </c>
      <c r="H13" s="5" t="s">
        <v>18</v>
      </c>
      <c r="I13" s="24">
        <v>45717</v>
      </c>
      <c r="J13" s="24">
        <v>46082</v>
      </c>
      <c r="K13" s="55" t="s">
        <v>360</v>
      </c>
      <c r="L13" s="31">
        <f t="shared" ca="1" si="0"/>
        <v>218</v>
      </c>
      <c r="M13" s="7"/>
    </row>
    <row r="14" spans="1:14" s="8" customFormat="1" ht="24" customHeight="1" x14ac:dyDescent="0.25">
      <c r="A14" s="6">
        <v>7</v>
      </c>
      <c r="B14" s="5">
        <v>16233</v>
      </c>
      <c r="C14" s="37" t="s">
        <v>187</v>
      </c>
      <c r="D14" s="22" t="s">
        <v>375</v>
      </c>
      <c r="E14" s="53" t="s">
        <v>193</v>
      </c>
      <c r="F14" s="5" t="s">
        <v>182</v>
      </c>
      <c r="G14" s="5" t="s">
        <v>17</v>
      </c>
      <c r="H14" s="5" t="s">
        <v>18</v>
      </c>
      <c r="I14" s="24">
        <v>45717</v>
      </c>
      <c r="J14" s="24">
        <v>46082</v>
      </c>
      <c r="K14" s="55" t="s">
        <v>197</v>
      </c>
      <c r="L14" s="31">
        <f t="shared" ca="1" si="0"/>
        <v>218</v>
      </c>
      <c r="M14" s="7"/>
    </row>
    <row r="15" spans="1:14" s="8" customFormat="1" ht="24" customHeight="1" x14ac:dyDescent="0.25">
      <c r="A15" s="6">
        <v>8</v>
      </c>
      <c r="B15" s="5">
        <v>16234</v>
      </c>
      <c r="C15" s="37" t="s">
        <v>187</v>
      </c>
      <c r="D15" s="22" t="s">
        <v>370</v>
      </c>
      <c r="E15" s="53" t="s">
        <v>193</v>
      </c>
      <c r="F15" s="5" t="s">
        <v>182</v>
      </c>
      <c r="G15" s="5" t="s">
        <v>17</v>
      </c>
      <c r="H15" s="5" t="s">
        <v>18</v>
      </c>
      <c r="I15" s="24">
        <v>45717</v>
      </c>
      <c r="J15" s="24">
        <v>46082</v>
      </c>
      <c r="K15" s="55" t="s">
        <v>371</v>
      </c>
      <c r="L15" s="31">
        <f t="shared" ca="1" si="0"/>
        <v>218</v>
      </c>
      <c r="M15" s="7"/>
    </row>
    <row r="16" spans="1:14" s="8" customFormat="1" ht="24" customHeight="1" x14ac:dyDescent="0.25">
      <c r="A16" s="6">
        <v>9</v>
      </c>
      <c r="B16" s="57">
        <v>16235</v>
      </c>
      <c r="C16" s="37" t="s">
        <v>187</v>
      </c>
      <c r="D16" s="33" t="s">
        <v>192</v>
      </c>
      <c r="E16" s="53" t="s">
        <v>193</v>
      </c>
      <c r="F16" s="5" t="s">
        <v>182</v>
      </c>
      <c r="G16" s="5" t="s">
        <v>17</v>
      </c>
      <c r="H16" s="5" t="s">
        <v>18</v>
      </c>
      <c r="I16" s="24">
        <v>45717</v>
      </c>
      <c r="J16" s="24">
        <v>46082</v>
      </c>
      <c r="K16" s="55" t="s">
        <v>194</v>
      </c>
      <c r="L16" s="31">
        <f t="shared" ca="1" si="0"/>
        <v>218</v>
      </c>
      <c r="M16" s="7"/>
    </row>
    <row r="17" spans="1:13" s="8" customFormat="1" ht="24" customHeight="1" x14ac:dyDescent="0.25">
      <c r="A17" s="6">
        <v>10</v>
      </c>
      <c r="B17" s="5">
        <v>16236</v>
      </c>
      <c r="C17" s="37" t="s">
        <v>187</v>
      </c>
      <c r="D17" s="22" t="s">
        <v>372</v>
      </c>
      <c r="E17" s="53" t="s">
        <v>193</v>
      </c>
      <c r="F17" s="5" t="s">
        <v>182</v>
      </c>
      <c r="G17" s="5" t="s">
        <v>17</v>
      </c>
      <c r="H17" s="5" t="s">
        <v>18</v>
      </c>
      <c r="I17" s="24">
        <v>45717</v>
      </c>
      <c r="J17" s="24">
        <v>46082</v>
      </c>
      <c r="K17" s="55" t="s">
        <v>373</v>
      </c>
      <c r="L17" s="31">
        <f t="shared" ca="1" si="0"/>
        <v>218</v>
      </c>
      <c r="M17" s="7"/>
    </row>
    <row r="18" spans="1:13" s="8" customFormat="1" ht="24" customHeight="1" x14ac:dyDescent="0.25">
      <c r="A18" s="6">
        <v>11</v>
      </c>
      <c r="B18" s="21">
        <v>16237</v>
      </c>
      <c r="C18" s="37" t="s">
        <v>187</v>
      </c>
      <c r="D18" s="22" t="s">
        <v>362</v>
      </c>
      <c r="E18" s="53" t="s">
        <v>193</v>
      </c>
      <c r="F18" s="5" t="s">
        <v>182</v>
      </c>
      <c r="G18" s="5" t="s">
        <v>17</v>
      </c>
      <c r="H18" s="5" t="s">
        <v>18</v>
      </c>
      <c r="I18" s="24">
        <v>45717</v>
      </c>
      <c r="J18" s="24">
        <v>46082</v>
      </c>
      <c r="K18" s="55" t="s">
        <v>197</v>
      </c>
      <c r="L18" s="31">
        <f t="shared" ca="1" si="0"/>
        <v>218</v>
      </c>
      <c r="M18" s="7"/>
    </row>
    <row r="19" spans="1:13" s="8" customFormat="1" ht="24" customHeight="1" x14ac:dyDescent="0.25">
      <c r="A19" s="6">
        <v>12</v>
      </c>
      <c r="B19" s="21">
        <v>16238</v>
      </c>
      <c r="C19" s="37" t="s">
        <v>187</v>
      </c>
      <c r="D19" s="22" t="s">
        <v>361</v>
      </c>
      <c r="E19" s="53" t="s">
        <v>193</v>
      </c>
      <c r="F19" s="5" t="s">
        <v>182</v>
      </c>
      <c r="G19" s="5" t="s">
        <v>17</v>
      </c>
      <c r="H19" s="5" t="s">
        <v>18</v>
      </c>
      <c r="I19" s="24">
        <v>45717</v>
      </c>
      <c r="J19" s="24">
        <v>46082</v>
      </c>
      <c r="K19" s="55" t="s">
        <v>197</v>
      </c>
      <c r="L19" s="31">
        <f t="shared" ca="1" si="0"/>
        <v>218</v>
      </c>
      <c r="M19" s="7"/>
    </row>
    <row r="20" spans="1:13" s="7" customFormat="1" ht="39" customHeight="1" x14ac:dyDescent="0.25">
      <c r="A20" s="6">
        <v>13</v>
      </c>
      <c r="B20" s="6">
        <v>13150</v>
      </c>
      <c r="C20" s="37" t="s">
        <v>187</v>
      </c>
      <c r="D20" s="5" t="s">
        <v>188</v>
      </c>
      <c r="E20" s="9" t="s">
        <v>189</v>
      </c>
      <c r="F20" s="5" t="s">
        <v>190</v>
      </c>
      <c r="G20" s="5" t="s">
        <v>17</v>
      </c>
      <c r="H20" s="5" t="s">
        <v>18</v>
      </c>
      <c r="I20" s="24">
        <v>45717</v>
      </c>
      <c r="J20" s="24">
        <v>46082</v>
      </c>
      <c r="K20" s="12"/>
      <c r="L20" s="31">
        <f t="shared" ref="L20:L69" ca="1" si="1">J20-L$5</f>
        <v>218</v>
      </c>
    </row>
    <row r="21" spans="1:13" s="7" customFormat="1" ht="30.75" customHeight="1" x14ac:dyDescent="0.25">
      <c r="A21" s="6">
        <v>14</v>
      </c>
      <c r="B21" s="6">
        <v>13151</v>
      </c>
      <c r="C21" s="37" t="s">
        <v>187</v>
      </c>
      <c r="D21" s="5" t="s">
        <v>188</v>
      </c>
      <c r="E21" s="9" t="s">
        <v>189</v>
      </c>
      <c r="F21" s="5" t="s">
        <v>190</v>
      </c>
      <c r="G21" s="5" t="s">
        <v>17</v>
      </c>
      <c r="H21" s="5" t="s">
        <v>18</v>
      </c>
      <c r="I21" s="24">
        <v>45717</v>
      </c>
      <c r="J21" s="24">
        <v>46082</v>
      </c>
      <c r="K21" s="12"/>
      <c r="L21" s="31">
        <f t="shared" ca="1" si="1"/>
        <v>218</v>
      </c>
    </row>
    <row r="22" spans="1:13" s="7" customFormat="1" ht="34.5" customHeight="1" x14ac:dyDescent="0.25">
      <c r="A22" s="6">
        <v>15</v>
      </c>
      <c r="B22" s="6">
        <v>13153</v>
      </c>
      <c r="C22" s="37" t="s">
        <v>187</v>
      </c>
      <c r="D22" s="5" t="s">
        <v>188</v>
      </c>
      <c r="E22" s="9" t="s">
        <v>189</v>
      </c>
      <c r="F22" s="5" t="s">
        <v>190</v>
      </c>
      <c r="G22" s="5" t="s">
        <v>17</v>
      </c>
      <c r="H22" s="5" t="s">
        <v>18</v>
      </c>
      <c r="I22" s="24">
        <v>45717</v>
      </c>
      <c r="J22" s="24">
        <v>46082</v>
      </c>
      <c r="K22" s="12"/>
      <c r="L22" s="31">
        <f t="shared" ca="1" si="1"/>
        <v>218</v>
      </c>
    </row>
    <row r="23" spans="1:13" s="7" customFormat="1" ht="45.75" customHeight="1" x14ac:dyDescent="0.25">
      <c r="A23" s="6">
        <v>16</v>
      </c>
      <c r="B23" s="6">
        <v>13154</v>
      </c>
      <c r="C23" s="37" t="s">
        <v>187</v>
      </c>
      <c r="D23" s="5" t="s">
        <v>188</v>
      </c>
      <c r="E23" s="9" t="s">
        <v>189</v>
      </c>
      <c r="F23" s="5" t="s">
        <v>190</v>
      </c>
      <c r="G23" s="5" t="s">
        <v>17</v>
      </c>
      <c r="H23" s="5" t="s">
        <v>18</v>
      </c>
      <c r="I23" s="24">
        <v>45717</v>
      </c>
      <c r="J23" s="24">
        <v>46082</v>
      </c>
      <c r="K23" s="12"/>
      <c r="L23" s="31">
        <f t="shared" ca="1" si="1"/>
        <v>218</v>
      </c>
    </row>
    <row r="24" spans="1:13" s="7" customFormat="1" ht="48.75" customHeight="1" x14ac:dyDescent="0.25">
      <c r="A24" s="6">
        <v>17</v>
      </c>
      <c r="B24" s="6">
        <v>13155</v>
      </c>
      <c r="C24" s="37" t="s">
        <v>187</v>
      </c>
      <c r="D24" s="5" t="s">
        <v>188</v>
      </c>
      <c r="E24" s="9" t="s">
        <v>189</v>
      </c>
      <c r="F24" s="5" t="s">
        <v>190</v>
      </c>
      <c r="G24" s="5" t="s">
        <v>17</v>
      </c>
      <c r="H24" s="5" t="s">
        <v>18</v>
      </c>
      <c r="I24" s="24">
        <v>45717</v>
      </c>
      <c r="J24" s="24">
        <v>46082</v>
      </c>
      <c r="K24" s="27"/>
      <c r="L24" s="31">
        <f t="shared" ref="L24:L39" ca="1" si="2">J24-L$5</f>
        <v>218</v>
      </c>
    </row>
    <row r="25" spans="1:13" s="7" customFormat="1" ht="39" customHeight="1" x14ac:dyDescent="0.25">
      <c r="A25" s="6">
        <v>18</v>
      </c>
      <c r="B25" s="6">
        <v>13156</v>
      </c>
      <c r="C25" s="37" t="s">
        <v>187</v>
      </c>
      <c r="D25" s="5" t="s">
        <v>188</v>
      </c>
      <c r="E25" s="9" t="s">
        <v>189</v>
      </c>
      <c r="F25" s="5" t="s">
        <v>190</v>
      </c>
      <c r="G25" s="5" t="s">
        <v>17</v>
      </c>
      <c r="H25" s="5" t="s">
        <v>18</v>
      </c>
      <c r="I25" s="24">
        <v>45717</v>
      </c>
      <c r="J25" s="24">
        <v>46082</v>
      </c>
      <c r="K25" s="27"/>
      <c r="L25" s="31">
        <f t="shared" ca="1" si="2"/>
        <v>218</v>
      </c>
    </row>
    <row r="26" spans="1:13" s="7" customFormat="1" ht="24" customHeight="1" x14ac:dyDescent="0.25">
      <c r="A26" s="6">
        <v>19</v>
      </c>
      <c r="B26" s="6">
        <v>13157</v>
      </c>
      <c r="C26" s="37" t="s">
        <v>187</v>
      </c>
      <c r="D26" s="5" t="s">
        <v>188</v>
      </c>
      <c r="E26" s="9" t="s">
        <v>189</v>
      </c>
      <c r="F26" s="5" t="s">
        <v>190</v>
      </c>
      <c r="G26" s="5" t="s">
        <v>17</v>
      </c>
      <c r="H26" s="5" t="s">
        <v>18</v>
      </c>
      <c r="I26" s="24">
        <v>45717</v>
      </c>
      <c r="J26" s="24">
        <v>46082</v>
      </c>
      <c r="K26" s="27"/>
      <c r="L26" s="31">
        <f t="shared" ca="1" si="2"/>
        <v>218</v>
      </c>
    </row>
    <row r="27" spans="1:13" s="7" customFormat="1" ht="31.5" customHeight="1" x14ac:dyDescent="0.25">
      <c r="A27" s="6">
        <v>20</v>
      </c>
      <c r="B27" s="6">
        <v>13158</v>
      </c>
      <c r="C27" s="37" t="s">
        <v>187</v>
      </c>
      <c r="D27" s="5" t="s">
        <v>188</v>
      </c>
      <c r="E27" s="9" t="s">
        <v>189</v>
      </c>
      <c r="F27" s="5" t="s">
        <v>190</v>
      </c>
      <c r="G27" s="5" t="s">
        <v>17</v>
      </c>
      <c r="H27" s="5" t="s">
        <v>18</v>
      </c>
      <c r="I27" s="24">
        <v>45717</v>
      </c>
      <c r="J27" s="24">
        <v>46082</v>
      </c>
      <c r="K27" s="27"/>
      <c r="L27" s="31">
        <f t="shared" ca="1" si="2"/>
        <v>218</v>
      </c>
    </row>
    <row r="28" spans="1:13" s="7" customFormat="1" ht="33.75" customHeight="1" x14ac:dyDescent="0.25">
      <c r="A28" s="6">
        <v>21</v>
      </c>
      <c r="B28" s="6">
        <v>13159</v>
      </c>
      <c r="C28" s="37" t="s">
        <v>187</v>
      </c>
      <c r="D28" s="5" t="s">
        <v>188</v>
      </c>
      <c r="E28" s="9" t="s">
        <v>189</v>
      </c>
      <c r="F28" s="5" t="s">
        <v>190</v>
      </c>
      <c r="G28" s="5" t="s">
        <v>17</v>
      </c>
      <c r="H28" s="5" t="s">
        <v>18</v>
      </c>
      <c r="I28" s="24">
        <v>45717</v>
      </c>
      <c r="J28" s="24">
        <v>46082</v>
      </c>
      <c r="K28" s="12"/>
      <c r="L28" s="31">
        <f t="shared" ca="1" si="2"/>
        <v>218</v>
      </c>
    </row>
    <row r="29" spans="1:13" s="7" customFormat="1" ht="40.5" customHeight="1" x14ac:dyDescent="0.25">
      <c r="A29" s="6">
        <v>22</v>
      </c>
      <c r="B29" s="6">
        <v>16209</v>
      </c>
      <c r="C29" s="37" t="s">
        <v>187</v>
      </c>
      <c r="D29" s="5" t="s">
        <v>188</v>
      </c>
      <c r="E29" s="9" t="s">
        <v>189</v>
      </c>
      <c r="F29" s="5" t="s">
        <v>190</v>
      </c>
      <c r="G29" s="5" t="s">
        <v>17</v>
      </c>
      <c r="H29" s="5" t="s">
        <v>18</v>
      </c>
      <c r="I29" s="24">
        <v>45717</v>
      </c>
      <c r="J29" s="24">
        <v>46082</v>
      </c>
      <c r="K29" s="12"/>
      <c r="L29" s="31">
        <f t="shared" ca="1" si="2"/>
        <v>218</v>
      </c>
    </row>
    <row r="30" spans="1:13" s="7" customFormat="1" ht="39" customHeight="1" x14ac:dyDescent="0.25">
      <c r="A30" s="6">
        <v>23</v>
      </c>
      <c r="B30" s="6">
        <v>16212</v>
      </c>
      <c r="C30" s="37" t="s">
        <v>187</v>
      </c>
      <c r="D30" s="5" t="s">
        <v>188</v>
      </c>
      <c r="E30" s="9" t="s">
        <v>189</v>
      </c>
      <c r="F30" s="5" t="s">
        <v>190</v>
      </c>
      <c r="G30" s="5" t="s">
        <v>17</v>
      </c>
      <c r="H30" s="5" t="s">
        <v>18</v>
      </c>
      <c r="I30" s="24">
        <v>45717</v>
      </c>
      <c r="J30" s="24">
        <v>46082</v>
      </c>
      <c r="K30" s="13"/>
      <c r="L30" s="31">
        <f t="shared" ca="1" si="2"/>
        <v>218</v>
      </c>
    </row>
    <row r="31" spans="1:13" s="7" customFormat="1" ht="38.25" customHeight="1" x14ac:dyDescent="0.25">
      <c r="A31" s="6">
        <v>24</v>
      </c>
      <c r="B31" s="6">
        <v>16213</v>
      </c>
      <c r="C31" s="37" t="s">
        <v>187</v>
      </c>
      <c r="D31" s="5" t="s">
        <v>188</v>
      </c>
      <c r="E31" s="9" t="s">
        <v>189</v>
      </c>
      <c r="F31" s="5" t="s">
        <v>190</v>
      </c>
      <c r="G31" s="5" t="s">
        <v>17</v>
      </c>
      <c r="H31" s="5" t="s">
        <v>18</v>
      </c>
      <c r="I31" s="24">
        <v>45717</v>
      </c>
      <c r="J31" s="24">
        <v>46082</v>
      </c>
      <c r="K31" s="13"/>
      <c r="L31" s="31">
        <f t="shared" ca="1" si="2"/>
        <v>218</v>
      </c>
    </row>
    <row r="32" spans="1:13" s="7" customFormat="1" ht="37.5" customHeight="1" x14ac:dyDescent="0.25">
      <c r="A32" s="6">
        <v>25</v>
      </c>
      <c r="B32" s="6">
        <v>16214</v>
      </c>
      <c r="C32" s="37" t="s">
        <v>187</v>
      </c>
      <c r="D32" s="5" t="s">
        <v>188</v>
      </c>
      <c r="E32" s="9" t="s">
        <v>189</v>
      </c>
      <c r="F32" s="5" t="s">
        <v>190</v>
      </c>
      <c r="G32" s="5" t="s">
        <v>17</v>
      </c>
      <c r="H32" s="5" t="s">
        <v>18</v>
      </c>
      <c r="I32" s="24">
        <v>45717</v>
      </c>
      <c r="J32" s="24">
        <v>46082</v>
      </c>
      <c r="K32" s="13"/>
      <c r="L32" s="31">
        <f t="shared" ca="1" si="2"/>
        <v>218</v>
      </c>
    </row>
    <row r="33" spans="1:12" s="7" customFormat="1" ht="33" customHeight="1" x14ac:dyDescent="0.25">
      <c r="A33" s="6">
        <v>26</v>
      </c>
      <c r="B33" s="6">
        <v>16215</v>
      </c>
      <c r="C33" s="37" t="s">
        <v>187</v>
      </c>
      <c r="D33" s="5" t="s">
        <v>188</v>
      </c>
      <c r="E33" s="9" t="s">
        <v>189</v>
      </c>
      <c r="F33" s="5" t="s">
        <v>190</v>
      </c>
      <c r="G33" s="5" t="s">
        <v>17</v>
      </c>
      <c r="H33" s="5" t="s">
        <v>18</v>
      </c>
      <c r="I33" s="24">
        <v>45717</v>
      </c>
      <c r="J33" s="24">
        <v>46082</v>
      </c>
      <c r="K33" s="13"/>
      <c r="L33" s="31">
        <f t="shared" ca="1" si="2"/>
        <v>218</v>
      </c>
    </row>
    <row r="34" spans="1:12" s="7" customFormat="1" ht="36.75" customHeight="1" x14ac:dyDescent="0.25">
      <c r="A34" s="6">
        <v>27</v>
      </c>
      <c r="B34" s="6">
        <v>16216</v>
      </c>
      <c r="C34" s="37" t="s">
        <v>187</v>
      </c>
      <c r="D34" s="5" t="s">
        <v>188</v>
      </c>
      <c r="E34" s="9" t="s">
        <v>189</v>
      </c>
      <c r="F34" s="5" t="s">
        <v>190</v>
      </c>
      <c r="G34" s="5" t="s">
        <v>17</v>
      </c>
      <c r="H34" s="5" t="s">
        <v>18</v>
      </c>
      <c r="I34" s="24">
        <v>45717</v>
      </c>
      <c r="J34" s="24">
        <v>46082</v>
      </c>
      <c r="K34" s="13"/>
      <c r="L34" s="31">
        <f t="shared" ca="1" si="2"/>
        <v>218</v>
      </c>
    </row>
    <row r="35" spans="1:12" s="7" customFormat="1" ht="33.75" customHeight="1" x14ac:dyDescent="0.25">
      <c r="A35" s="6">
        <v>28</v>
      </c>
      <c r="B35" s="6">
        <v>16217</v>
      </c>
      <c r="C35" s="37" t="s">
        <v>187</v>
      </c>
      <c r="D35" s="5" t="s">
        <v>188</v>
      </c>
      <c r="E35" s="9" t="s">
        <v>189</v>
      </c>
      <c r="F35" s="5" t="s">
        <v>190</v>
      </c>
      <c r="G35" s="5" t="s">
        <v>17</v>
      </c>
      <c r="H35" s="5" t="s">
        <v>18</v>
      </c>
      <c r="I35" s="24">
        <v>45717</v>
      </c>
      <c r="J35" s="24">
        <v>46082</v>
      </c>
      <c r="K35" s="13"/>
      <c r="L35" s="31">
        <f t="shared" ca="1" si="2"/>
        <v>218</v>
      </c>
    </row>
    <row r="36" spans="1:12" s="7" customFormat="1" ht="24" customHeight="1" x14ac:dyDescent="0.25">
      <c r="A36" s="6">
        <v>29</v>
      </c>
      <c r="B36" s="5">
        <v>13144</v>
      </c>
      <c r="C36" s="37" t="s">
        <v>187</v>
      </c>
      <c r="D36" s="22">
        <v>279765</v>
      </c>
      <c r="E36" s="53" t="s">
        <v>193</v>
      </c>
      <c r="F36" s="41" t="s">
        <v>203</v>
      </c>
      <c r="G36" s="5" t="s">
        <v>17</v>
      </c>
      <c r="H36" s="5" t="s">
        <v>18</v>
      </c>
      <c r="I36" s="24">
        <v>45717</v>
      </c>
      <c r="J36" s="24">
        <v>46082</v>
      </c>
      <c r="K36" s="55" t="s">
        <v>376</v>
      </c>
      <c r="L36" s="31">
        <f t="shared" ca="1" si="2"/>
        <v>218</v>
      </c>
    </row>
    <row r="37" spans="1:12" s="7" customFormat="1" ht="39" customHeight="1" x14ac:dyDescent="0.25">
      <c r="A37" s="6">
        <v>30</v>
      </c>
      <c r="B37" s="5" t="s">
        <v>202</v>
      </c>
      <c r="C37" s="37" t="s">
        <v>187</v>
      </c>
      <c r="D37" s="22">
        <v>279714</v>
      </c>
      <c r="E37" s="53" t="s">
        <v>193</v>
      </c>
      <c r="F37" s="41" t="s">
        <v>203</v>
      </c>
      <c r="G37" s="5" t="s">
        <v>17</v>
      </c>
      <c r="H37" s="5" t="s">
        <v>18</v>
      </c>
      <c r="I37" s="24">
        <v>45717</v>
      </c>
      <c r="J37" s="24">
        <v>46082</v>
      </c>
      <c r="K37" s="55" t="s">
        <v>204</v>
      </c>
      <c r="L37" s="31">
        <f t="shared" ca="1" si="2"/>
        <v>218</v>
      </c>
    </row>
    <row r="38" spans="1:12" ht="27" customHeight="1" x14ac:dyDescent="0.2">
      <c r="A38" s="6">
        <v>31</v>
      </c>
      <c r="B38" s="21">
        <v>16210</v>
      </c>
      <c r="C38" s="37" t="s">
        <v>187</v>
      </c>
      <c r="D38" s="5" t="s">
        <v>188</v>
      </c>
      <c r="E38" s="9" t="s">
        <v>189</v>
      </c>
      <c r="F38" s="41" t="s">
        <v>200</v>
      </c>
      <c r="G38" s="5" t="s">
        <v>17</v>
      </c>
      <c r="H38" s="5" t="s">
        <v>18</v>
      </c>
      <c r="I38" s="24">
        <v>45717</v>
      </c>
      <c r="J38" s="24">
        <v>46082</v>
      </c>
      <c r="K38" s="13"/>
      <c r="L38" s="31">
        <f t="shared" ca="1" si="2"/>
        <v>218</v>
      </c>
    </row>
    <row r="39" spans="1:12" ht="33.75" customHeight="1" x14ac:dyDescent="0.2">
      <c r="A39" s="6">
        <v>32</v>
      </c>
      <c r="B39" s="21">
        <v>16211</v>
      </c>
      <c r="C39" s="37" t="s">
        <v>187</v>
      </c>
      <c r="D39" s="5" t="s">
        <v>188</v>
      </c>
      <c r="E39" s="9" t="s">
        <v>189</v>
      </c>
      <c r="F39" s="41" t="s">
        <v>200</v>
      </c>
      <c r="G39" s="5" t="s">
        <v>17</v>
      </c>
      <c r="H39" s="5" t="s">
        <v>18</v>
      </c>
      <c r="I39" s="24">
        <v>45717</v>
      </c>
      <c r="J39" s="24">
        <v>46082</v>
      </c>
      <c r="K39" s="13"/>
      <c r="L39" s="31">
        <f t="shared" ca="1" si="2"/>
        <v>218</v>
      </c>
    </row>
    <row r="40" spans="1:12" ht="41.25" customHeight="1" x14ac:dyDescent="0.2">
      <c r="A40" s="6">
        <v>22</v>
      </c>
      <c r="B40" s="80"/>
      <c r="C40" s="21" t="s">
        <v>422</v>
      </c>
      <c r="D40" s="21" t="s">
        <v>423</v>
      </c>
      <c r="E40" s="53" t="s">
        <v>193</v>
      </c>
      <c r="F40" s="21" t="s">
        <v>424</v>
      </c>
      <c r="G40" s="5" t="s">
        <v>17</v>
      </c>
      <c r="H40" s="5" t="s">
        <v>18</v>
      </c>
      <c r="I40" s="135">
        <v>45231</v>
      </c>
      <c r="J40" s="135">
        <v>45597</v>
      </c>
      <c r="K40" s="55" t="s">
        <v>425</v>
      </c>
      <c r="L40" s="31">
        <f t="shared" ref="L40:L64" ca="1" si="3">J40-L$5</f>
        <v>-267</v>
      </c>
    </row>
    <row r="41" spans="1:12" ht="45.75" customHeight="1" x14ac:dyDescent="0.2">
      <c r="A41" s="6">
        <v>23</v>
      </c>
      <c r="B41" s="80"/>
      <c r="C41" s="21" t="s">
        <v>422</v>
      </c>
      <c r="D41" s="21" t="s">
        <v>426</v>
      </c>
      <c r="E41" s="53" t="s">
        <v>193</v>
      </c>
      <c r="F41" s="21" t="s">
        <v>424</v>
      </c>
      <c r="G41" s="5" t="s">
        <v>17</v>
      </c>
      <c r="H41" s="5" t="s">
        <v>18</v>
      </c>
      <c r="I41" s="135">
        <v>45231</v>
      </c>
      <c r="J41" s="135">
        <v>45597</v>
      </c>
      <c r="K41" s="55" t="s">
        <v>425</v>
      </c>
      <c r="L41" s="31">
        <f t="shared" ca="1" si="3"/>
        <v>-267</v>
      </c>
    </row>
    <row r="42" spans="1:12" ht="39.75" customHeight="1" x14ac:dyDescent="0.2">
      <c r="A42" s="6">
        <v>24</v>
      </c>
      <c r="B42" s="80"/>
      <c r="C42" s="21" t="s">
        <v>422</v>
      </c>
      <c r="D42" s="21" t="s">
        <v>427</v>
      </c>
      <c r="E42" s="53" t="s">
        <v>193</v>
      </c>
      <c r="F42" s="21" t="s">
        <v>424</v>
      </c>
      <c r="G42" s="5" t="s">
        <v>17</v>
      </c>
      <c r="H42" s="5" t="s">
        <v>18</v>
      </c>
      <c r="I42" s="135">
        <v>45231</v>
      </c>
      <c r="J42" s="135">
        <v>45597</v>
      </c>
      <c r="K42" s="55" t="s">
        <v>425</v>
      </c>
      <c r="L42" s="31">
        <f t="shared" ca="1" si="3"/>
        <v>-267</v>
      </c>
    </row>
    <row r="43" spans="1:12" ht="21.75" customHeight="1" x14ac:dyDescent="0.2">
      <c r="A43" s="6">
        <v>25</v>
      </c>
      <c r="B43" s="80"/>
      <c r="C43" s="21" t="s">
        <v>422</v>
      </c>
      <c r="D43" s="21" t="s">
        <v>428</v>
      </c>
      <c r="E43" s="53" t="s">
        <v>193</v>
      </c>
      <c r="F43" s="21" t="s">
        <v>424</v>
      </c>
      <c r="G43" s="5" t="s">
        <v>17</v>
      </c>
      <c r="H43" s="5" t="s">
        <v>18</v>
      </c>
      <c r="I43" s="135">
        <v>45231</v>
      </c>
      <c r="J43" s="135">
        <v>45597</v>
      </c>
      <c r="K43" s="55" t="s">
        <v>425</v>
      </c>
      <c r="L43" s="31">
        <f t="shared" ca="1" si="3"/>
        <v>-267</v>
      </c>
    </row>
    <row r="44" spans="1:12" ht="24" customHeight="1" x14ac:dyDescent="0.2">
      <c r="A44" s="6">
        <v>26</v>
      </c>
      <c r="B44" s="80"/>
      <c r="C44" s="21" t="s">
        <v>422</v>
      </c>
      <c r="D44" s="21" t="s">
        <v>429</v>
      </c>
      <c r="E44" s="53" t="s">
        <v>193</v>
      </c>
      <c r="F44" s="21" t="s">
        <v>424</v>
      </c>
      <c r="G44" s="5" t="s">
        <v>17</v>
      </c>
      <c r="H44" s="5" t="s">
        <v>18</v>
      </c>
      <c r="I44" s="135">
        <v>45231</v>
      </c>
      <c r="J44" s="135">
        <v>45597</v>
      </c>
      <c r="K44" s="55" t="s">
        <v>425</v>
      </c>
      <c r="L44" s="31">
        <f t="shared" ca="1" si="3"/>
        <v>-267</v>
      </c>
    </row>
    <row r="45" spans="1:12" ht="24" customHeight="1" x14ac:dyDescent="0.2">
      <c r="A45" s="6">
        <v>27</v>
      </c>
      <c r="B45" s="80"/>
      <c r="C45" s="21" t="s">
        <v>422</v>
      </c>
      <c r="D45" s="21" t="s">
        <v>430</v>
      </c>
      <c r="E45" s="53" t="s">
        <v>193</v>
      </c>
      <c r="F45" s="21" t="s">
        <v>424</v>
      </c>
      <c r="G45" s="5" t="s">
        <v>17</v>
      </c>
      <c r="H45" s="5" t="s">
        <v>18</v>
      </c>
      <c r="I45" s="135">
        <v>45231</v>
      </c>
      <c r="J45" s="135">
        <v>45597</v>
      </c>
      <c r="K45" s="55" t="s">
        <v>425</v>
      </c>
      <c r="L45" s="31">
        <f t="shared" ca="1" si="3"/>
        <v>-267</v>
      </c>
    </row>
    <row r="46" spans="1:12" ht="34.5" customHeight="1" x14ac:dyDescent="0.2">
      <c r="A46" s="6">
        <v>28</v>
      </c>
      <c r="B46" s="80"/>
      <c r="C46" s="21" t="s">
        <v>422</v>
      </c>
      <c r="D46" s="21" t="s">
        <v>431</v>
      </c>
      <c r="E46" s="53" t="s">
        <v>193</v>
      </c>
      <c r="F46" s="21" t="s">
        <v>424</v>
      </c>
      <c r="G46" s="5" t="s">
        <v>17</v>
      </c>
      <c r="H46" s="5" t="s">
        <v>18</v>
      </c>
      <c r="I46" s="135">
        <v>45231</v>
      </c>
      <c r="J46" s="135">
        <v>45597</v>
      </c>
      <c r="K46" s="55" t="s">
        <v>425</v>
      </c>
      <c r="L46" s="31">
        <f t="shared" ca="1" si="3"/>
        <v>-267</v>
      </c>
    </row>
    <row r="47" spans="1:12" ht="36" customHeight="1" x14ac:dyDescent="0.2">
      <c r="A47" s="6">
        <v>29</v>
      </c>
      <c r="B47" s="5"/>
      <c r="C47" s="21" t="s">
        <v>422</v>
      </c>
      <c r="D47" s="21" t="s">
        <v>432</v>
      </c>
      <c r="E47" s="53" t="s">
        <v>193</v>
      </c>
      <c r="F47" s="21" t="s">
        <v>424</v>
      </c>
      <c r="G47" s="5" t="s">
        <v>17</v>
      </c>
      <c r="H47" s="5" t="s">
        <v>18</v>
      </c>
      <c r="I47" s="135">
        <v>45231</v>
      </c>
      <c r="J47" s="135">
        <v>45597</v>
      </c>
      <c r="K47" s="55" t="s">
        <v>425</v>
      </c>
      <c r="L47" s="31">
        <f t="shared" ca="1" si="3"/>
        <v>-267</v>
      </c>
    </row>
    <row r="48" spans="1:12" ht="24" customHeight="1" x14ac:dyDescent="0.2">
      <c r="A48" s="6">
        <v>30</v>
      </c>
      <c r="B48" s="5"/>
      <c r="C48" s="21" t="s">
        <v>422</v>
      </c>
      <c r="D48" s="21" t="s">
        <v>433</v>
      </c>
      <c r="E48" s="53" t="s">
        <v>193</v>
      </c>
      <c r="F48" s="21" t="s">
        <v>424</v>
      </c>
      <c r="G48" s="5" t="s">
        <v>17</v>
      </c>
      <c r="H48" s="5" t="s">
        <v>18</v>
      </c>
      <c r="I48" s="135">
        <v>45231</v>
      </c>
      <c r="J48" s="135">
        <v>45597</v>
      </c>
      <c r="K48" s="55" t="s">
        <v>425</v>
      </c>
      <c r="L48" s="31">
        <f t="shared" ca="1" si="3"/>
        <v>-267</v>
      </c>
    </row>
    <row r="49" spans="1:12" ht="24" customHeight="1" x14ac:dyDescent="0.2">
      <c r="A49" s="6">
        <v>31</v>
      </c>
      <c r="B49" s="5"/>
      <c r="C49" s="21" t="s">
        <v>422</v>
      </c>
      <c r="D49" s="21" t="s">
        <v>434</v>
      </c>
      <c r="E49" s="53" t="s">
        <v>193</v>
      </c>
      <c r="F49" s="21" t="s">
        <v>424</v>
      </c>
      <c r="G49" s="5" t="s">
        <v>17</v>
      </c>
      <c r="H49" s="5" t="s">
        <v>18</v>
      </c>
      <c r="I49" s="135">
        <v>45231</v>
      </c>
      <c r="J49" s="135">
        <v>45597</v>
      </c>
      <c r="K49" s="55" t="s">
        <v>425</v>
      </c>
      <c r="L49" s="31">
        <f t="shared" ca="1" si="3"/>
        <v>-267</v>
      </c>
    </row>
    <row r="50" spans="1:12" ht="24" customHeight="1" x14ac:dyDescent="0.2">
      <c r="A50" s="6">
        <v>32</v>
      </c>
      <c r="B50" s="5"/>
      <c r="C50" s="21" t="s">
        <v>422</v>
      </c>
      <c r="D50" s="21" t="s">
        <v>435</v>
      </c>
      <c r="E50" s="53" t="s">
        <v>193</v>
      </c>
      <c r="F50" s="21" t="s">
        <v>424</v>
      </c>
      <c r="G50" s="5" t="s">
        <v>17</v>
      </c>
      <c r="H50" s="5" t="s">
        <v>18</v>
      </c>
      <c r="I50" s="135">
        <v>45231</v>
      </c>
      <c r="J50" s="135">
        <v>45597</v>
      </c>
      <c r="K50" s="55" t="s">
        <v>425</v>
      </c>
      <c r="L50" s="31">
        <f t="shared" ca="1" si="3"/>
        <v>-267</v>
      </c>
    </row>
    <row r="51" spans="1:12" ht="24" customHeight="1" x14ac:dyDescent="0.2">
      <c r="A51" s="6">
        <v>33</v>
      </c>
      <c r="B51" s="80"/>
      <c r="C51" s="21" t="s">
        <v>422</v>
      </c>
      <c r="D51" s="21" t="s">
        <v>436</v>
      </c>
      <c r="E51" s="53" t="s">
        <v>193</v>
      </c>
      <c r="F51" s="21" t="s">
        <v>424</v>
      </c>
      <c r="G51" s="5" t="s">
        <v>17</v>
      </c>
      <c r="H51" s="5" t="s">
        <v>18</v>
      </c>
      <c r="I51" s="135">
        <v>45231</v>
      </c>
      <c r="J51" s="135">
        <v>45597</v>
      </c>
      <c r="K51" s="55" t="s">
        <v>425</v>
      </c>
      <c r="L51" s="31">
        <f t="shared" ca="1" si="3"/>
        <v>-267</v>
      </c>
    </row>
    <row r="52" spans="1:12" ht="24" customHeight="1" x14ac:dyDescent="0.2">
      <c r="A52" s="6">
        <v>34</v>
      </c>
      <c r="B52" s="4"/>
      <c r="C52" s="21" t="s">
        <v>422</v>
      </c>
      <c r="D52" s="21" t="s">
        <v>437</v>
      </c>
      <c r="E52" s="53" t="s">
        <v>193</v>
      </c>
      <c r="F52" s="21" t="s">
        <v>424</v>
      </c>
      <c r="G52" s="5" t="s">
        <v>17</v>
      </c>
      <c r="H52" s="5" t="s">
        <v>18</v>
      </c>
      <c r="I52" s="135">
        <v>45231</v>
      </c>
      <c r="J52" s="135">
        <v>45597</v>
      </c>
      <c r="K52" s="55" t="s">
        <v>425</v>
      </c>
      <c r="L52" s="31">
        <f t="shared" ca="1" si="3"/>
        <v>-267</v>
      </c>
    </row>
    <row r="53" spans="1:12" ht="24" customHeight="1" x14ac:dyDescent="0.2">
      <c r="A53" s="6">
        <v>35</v>
      </c>
      <c r="B53" s="4"/>
      <c r="C53" s="21" t="s">
        <v>422</v>
      </c>
      <c r="D53" s="21" t="s">
        <v>438</v>
      </c>
      <c r="E53" s="53" t="s">
        <v>193</v>
      </c>
      <c r="F53" s="21" t="s">
        <v>424</v>
      </c>
      <c r="G53" s="5" t="s">
        <v>17</v>
      </c>
      <c r="H53" s="5" t="s">
        <v>18</v>
      </c>
      <c r="I53" s="135">
        <v>45231</v>
      </c>
      <c r="J53" s="135">
        <v>45597</v>
      </c>
      <c r="K53" s="55" t="s">
        <v>425</v>
      </c>
      <c r="L53" s="31">
        <f t="shared" ca="1" si="3"/>
        <v>-267</v>
      </c>
    </row>
    <row r="54" spans="1:12" ht="24" customHeight="1" x14ac:dyDescent="0.2">
      <c r="A54" s="6">
        <v>36</v>
      </c>
      <c r="B54" s="5"/>
      <c r="C54" s="21" t="s">
        <v>439</v>
      </c>
      <c r="D54" s="21" t="s">
        <v>440</v>
      </c>
      <c r="E54" s="53" t="s">
        <v>193</v>
      </c>
      <c r="F54" s="21" t="s">
        <v>424</v>
      </c>
      <c r="G54" s="5" t="s">
        <v>17</v>
      </c>
      <c r="H54" s="5" t="s">
        <v>18</v>
      </c>
      <c r="I54" s="135">
        <v>45778</v>
      </c>
      <c r="J54" s="135">
        <v>46143</v>
      </c>
      <c r="K54" s="55" t="s">
        <v>441</v>
      </c>
      <c r="L54" s="31">
        <f t="shared" ca="1" si="3"/>
        <v>279</v>
      </c>
    </row>
    <row r="55" spans="1:12" ht="24" customHeight="1" x14ac:dyDescent="0.2">
      <c r="A55" s="6">
        <v>37</v>
      </c>
      <c r="B55" s="4"/>
      <c r="C55" s="21" t="s">
        <v>439</v>
      </c>
      <c r="D55" s="21" t="s">
        <v>442</v>
      </c>
      <c r="E55" s="53" t="s">
        <v>193</v>
      </c>
      <c r="F55" s="21" t="s">
        <v>424</v>
      </c>
      <c r="G55" s="5" t="s">
        <v>17</v>
      </c>
      <c r="H55" s="5" t="s">
        <v>18</v>
      </c>
      <c r="I55" s="135">
        <v>45778</v>
      </c>
      <c r="J55" s="135">
        <v>46143</v>
      </c>
      <c r="K55" s="55" t="s">
        <v>441</v>
      </c>
      <c r="L55" s="31">
        <f t="shared" ca="1" si="3"/>
        <v>279</v>
      </c>
    </row>
    <row r="56" spans="1:12" ht="24" customHeight="1" x14ac:dyDescent="0.2">
      <c r="A56" s="6">
        <v>38</v>
      </c>
      <c r="B56" s="5"/>
      <c r="C56" s="21" t="s">
        <v>439</v>
      </c>
      <c r="D56" s="21" t="s">
        <v>443</v>
      </c>
      <c r="E56" s="53" t="s">
        <v>193</v>
      </c>
      <c r="F56" s="21" t="s">
        <v>424</v>
      </c>
      <c r="G56" s="5" t="s">
        <v>17</v>
      </c>
      <c r="H56" s="5" t="s">
        <v>18</v>
      </c>
      <c r="I56" s="135">
        <v>45778</v>
      </c>
      <c r="J56" s="135">
        <v>46143</v>
      </c>
      <c r="K56" s="55" t="s">
        <v>441</v>
      </c>
      <c r="L56" s="31">
        <f t="shared" ca="1" si="3"/>
        <v>279</v>
      </c>
    </row>
    <row r="57" spans="1:12" ht="24" customHeight="1" x14ac:dyDescent="0.2">
      <c r="A57" s="6">
        <v>39</v>
      </c>
      <c r="B57" s="5"/>
      <c r="C57" s="21" t="s">
        <v>439</v>
      </c>
      <c r="D57" s="21" t="s">
        <v>444</v>
      </c>
      <c r="E57" s="53" t="s">
        <v>193</v>
      </c>
      <c r="F57" s="21" t="s">
        <v>424</v>
      </c>
      <c r="G57" s="5" t="s">
        <v>17</v>
      </c>
      <c r="H57" s="5" t="s">
        <v>18</v>
      </c>
      <c r="I57" s="135">
        <v>45778</v>
      </c>
      <c r="J57" s="135">
        <v>46143</v>
      </c>
      <c r="K57" s="55" t="s">
        <v>441</v>
      </c>
      <c r="L57" s="31">
        <f t="shared" ca="1" si="3"/>
        <v>279</v>
      </c>
    </row>
    <row r="58" spans="1:12" ht="24" customHeight="1" x14ac:dyDescent="0.2">
      <c r="A58" s="6">
        <v>40</v>
      </c>
      <c r="B58" s="5"/>
      <c r="C58" s="21" t="s">
        <v>439</v>
      </c>
      <c r="D58" s="21" t="s">
        <v>445</v>
      </c>
      <c r="E58" s="53" t="s">
        <v>193</v>
      </c>
      <c r="F58" s="21" t="s">
        <v>424</v>
      </c>
      <c r="G58" s="5" t="s">
        <v>17</v>
      </c>
      <c r="H58" s="5" t="s">
        <v>18</v>
      </c>
      <c r="I58" s="135">
        <v>45778</v>
      </c>
      <c r="J58" s="135">
        <v>46143</v>
      </c>
      <c r="K58" s="55" t="s">
        <v>441</v>
      </c>
      <c r="L58" s="31">
        <f t="shared" ca="1" si="3"/>
        <v>279</v>
      </c>
    </row>
    <row r="59" spans="1:12" ht="24" customHeight="1" x14ac:dyDescent="0.2">
      <c r="A59" s="6">
        <v>41</v>
      </c>
      <c r="B59" s="5"/>
      <c r="C59" s="21" t="s">
        <v>439</v>
      </c>
      <c r="D59" s="21" t="s">
        <v>446</v>
      </c>
      <c r="E59" s="53" t="s">
        <v>193</v>
      </c>
      <c r="F59" s="21" t="s">
        <v>424</v>
      </c>
      <c r="G59" s="5" t="s">
        <v>17</v>
      </c>
      <c r="H59" s="5" t="s">
        <v>18</v>
      </c>
      <c r="I59" s="135">
        <v>45778</v>
      </c>
      <c r="J59" s="135">
        <v>46143</v>
      </c>
      <c r="K59" s="55" t="s">
        <v>441</v>
      </c>
      <c r="L59" s="31">
        <f t="shared" ca="1" si="3"/>
        <v>279</v>
      </c>
    </row>
    <row r="60" spans="1:12" ht="24" customHeight="1" x14ac:dyDescent="0.2">
      <c r="A60" s="6">
        <v>42</v>
      </c>
      <c r="B60" s="5"/>
      <c r="C60" s="21" t="s">
        <v>439</v>
      </c>
      <c r="D60" s="21" t="s">
        <v>447</v>
      </c>
      <c r="E60" s="53" t="s">
        <v>193</v>
      </c>
      <c r="F60" s="21" t="s">
        <v>424</v>
      </c>
      <c r="G60" s="5" t="s">
        <v>17</v>
      </c>
      <c r="H60" s="5" t="s">
        <v>18</v>
      </c>
      <c r="I60" s="135">
        <v>45778</v>
      </c>
      <c r="J60" s="135">
        <v>46143</v>
      </c>
      <c r="K60" s="55" t="s">
        <v>441</v>
      </c>
      <c r="L60" s="31">
        <f t="shared" ca="1" si="3"/>
        <v>279</v>
      </c>
    </row>
    <row r="61" spans="1:12" ht="24" customHeight="1" x14ac:dyDescent="0.2">
      <c r="A61" s="6">
        <v>43</v>
      </c>
      <c r="B61" s="5"/>
      <c r="C61" s="21" t="s">
        <v>439</v>
      </c>
      <c r="D61" s="21" t="s">
        <v>448</v>
      </c>
      <c r="E61" s="53" t="s">
        <v>193</v>
      </c>
      <c r="F61" s="21" t="s">
        <v>424</v>
      </c>
      <c r="G61" s="5" t="s">
        <v>17</v>
      </c>
      <c r="H61" s="5" t="s">
        <v>18</v>
      </c>
      <c r="I61" s="135">
        <v>45778</v>
      </c>
      <c r="J61" s="135">
        <v>46143</v>
      </c>
      <c r="K61" s="55" t="s">
        <v>441</v>
      </c>
      <c r="L61" s="31">
        <f t="shared" ca="1" si="3"/>
        <v>279</v>
      </c>
    </row>
    <row r="62" spans="1:12" ht="24" customHeight="1" x14ac:dyDescent="0.2">
      <c r="A62" s="6">
        <v>44</v>
      </c>
      <c r="B62" s="5"/>
      <c r="C62" s="21" t="s">
        <v>439</v>
      </c>
      <c r="D62" s="21" t="s">
        <v>449</v>
      </c>
      <c r="E62" s="53" t="s">
        <v>193</v>
      </c>
      <c r="F62" s="21" t="s">
        <v>424</v>
      </c>
      <c r="G62" s="5" t="s">
        <v>17</v>
      </c>
      <c r="H62" s="5" t="s">
        <v>18</v>
      </c>
      <c r="I62" s="135">
        <v>45778</v>
      </c>
      <c r="J62" s="135">
        <v>46143</v>
      </c>
      <c r="K62" s="55" t="s">
        <v>441</v>
      </c>
      <c r="L62" s="31">
        <f t="shared" ca="1" si="3"/>
        <v>279</v>
      </c>
    </row>
    <row r="63" spans="1:12" ht="24" customHeight="1" x14ac:dyDescent="0.2">
      <c r="A63" s="6">
        <v>45</v>
      </c>
      <c r="B63" s="5"/>
      <c r="C63" s="21" t="s">
        <v>439</v>
      </c>
      <c r="D63" s="21" t="s">
        <v>450</v>
      </c>
      <c r="E63" s="53" t="s">
        <v>193</v>
      </c>
      <c r="F63" s="21" t="s">
        <v>424</v>
      </c>
      <c r="G63" s="5" t="s">
        <v>17</v>
      </c>
      <c r="H63" s="5" t="s">
        <v>18</v>
      </c>
      <c r="I63" s="135">
        <v>45778</v>
      </c>
      <c r="J63" s="135">
        <v>46143</v>
      </c>
      <c r="K63" s="55" t="s">
        <v>441</v>
      </c>
      <c r="L63" s="31">
        <f t="shared" ca="1" si="3"/>
        <v>279</v>
      </c>
    </row>
    <row r="64" spans="1:12" ht="24" customHeight="1" x14ac:dyDescent="0.2">
      <c r="A64" s="6">
        <v>46</v>
      </c>
      <c r="B64" s="5"/>
      <c r="C64" s="21" t="s">
        <v>439</v>
      </c>
      <c r="D64" s="21" t="s">
        <v>451</v>
      </c>
      <c r="E64" s="53" t="s">
        <v>193</v>
      </c>
      <c r="F64" s="21" t="s">
        <v>424</v>
      </c>
      <c r="G64" s="5" t="s">
        <v>17</v>
      </c>
      <c r="H64" s="5" t="s">
        <v>18</v>
      </c>
      <c r="I64" s="135">
        <v>45778</v>
      </c>
      <c r="J64" s="135">
        <v>46143</v>
      </c>
      <c r="K64" s="55" t="s">
        <v>441</v>
      </c>
      <c r="L64" s="31">
        <f t="shared" ca="1" si="3"/>
        <v>279</v>
      </c>
    </row>
    <row r="65" spans="1:12" ht="24" customHeight="1" x14ac:dyDescent="0.2">
      <c r="A65" s="6">
        <v>47</v>
      </c>
      <c r="B65" s="5"/>
      <c r="C65" s="21" t="s">
        <v>439</v>
      </c>
      <c r="D65" s="21" t="s">
        <v>452</v>
      </c>
      <c r="E65" s="53" t="s">
        <v>193</v>
      </c>
      <c r="F65" s="21" t="s">
        <v>424</v>
      </c>
      <c r="G65" s="5" t="s">
        <v>17</v>
      </c>
      <c r="H65" s="5" t="s">
        <v>18</v>
      </c>
      <c r="I65" s="135">
        <v>45778</v>
      </c>
      <c r="J65" s="135">
        <v>46143</v>
      </c>
      <c r="K65" s="55" t="s">
        <v>441</v>
      </c>
      <c r="L65" s="31">
        <f t="shared" ca="1" si="1"/>
        <v>279</v>
      </c>
    </row>
    <row r="66" spans="1:12" ht="24" customHeight="1" x14ac:dyDescent="0.2">
      <c r="A66" s="6"/>
      <c r="B66" s="5"/>
      <c r="C66" s="21" t="s">
        <v>439</v>
      </c>
      <c r="D66" s="21" t="s">
        <v>453</v>
      </c>
      <c r="E66" s="53" t="s">
        <v>193</v>
      </c>
      <c r="F66" s="21" t="s">
        <v>424</v>
      </c>
      <c r="G66" s="5" t="s">
        <v>17</v>
      </c>
      <c r="H66" s="5" t="s">
        <v>18</v>
      </c>
      <c r="I66" s="135">
        <v>45778</v>
      </c>
      <c r="J66" s="135">
        <v>46143</v>
      </c>
      <c r="K66" s="55" t="s">
        <v>441</v>
      </c>
      <c r="L66" s="31">
        <f t="shared" ca="1" si="1"/>
        <v>279</v>
      </c>
    </row>
    <row r="67" spans="1:12" ht="24" customHeight="1" x14ac:dyDescent="0.2">
      <c r="A67" s="6"/>
      <c r="B67" s="5"/>
      <c r="C67" s="21" t="s">
        <v>439</v>
      </c>
      <c r="D67" s="21" t="s">
        <v>454</v>
      </c>
      <c r="E67" s="53" t="s">
        <v>193</v>
      </c>
      <c r="F67" s="21" t="s">
        <v>424</v>
      </c>
      <c r="G67" s="5" t="s">
        <v>17</v>
      </c>
      <c r="H67" s="5" t="s">
        <v>18</v>
      </c>
      <c r="I67" s="135" t="s">
        <v>455</v>
      </c>
      <c r="J67" s="135">
        <v>46143</v>
      </c>
      <c r="K67" s="55" t="s">
        <v>441</v>
      </c>
      <c r="L67" s="31">
        <f t="shared" ca="1" si="1"/>
        <v>279</v>
      </c>
    </row>
    <row r="68" spans="1:12" ht="24" customHeight="1" x14ac:dyDescent="0.2">
      <c r="A68" s="6"/>
      <c r="B68" s="5"/>
      <c r="C68" s="5"/>
      <c r="D68" s="5"/>
      <c r="E68" s="9"/>
      <c r="F68" s="5"/>
      <c r="G68" s="5"/>
      <c r="H68" s="5"/>
      <c r="I68" s="24"/>
      <c r="J68" s="24"/>
      <c r="K68" s="13"/>
      <c r="L68" s="31">
        <f t="shared" ca="1" si="1"/>
        <v>-45864</v>
      </c>
    </row>
    <row r="69" spans="1:12" ht="24" customHeight="1" x14ac:dyDescent="0.2">
      <c r="A69" s="6"/>
      <c r="B69" s="4"/>
      <c r="C69" s="4"/>
      <c r="D69" s="5"/>
      <c r="E69" s="9"/>
      <c r="F69" s="5"/>
      <c r="G69" s="5"/>
      <c r="H69" s="5"/>
      <c r="I69" s="18"/>
      <c r="J69" s="18"/>
      <c r="K69" s="12"/>
      <c r="L69" s="31">
        <f t="shared" ca="1" si="1"/>
        <v>-45864</v>
      </c>
    </row>
  </sheetData>
  <autoFilter ref="A6:K69" xr:uid="{BC7DA45D-F9C3-4231-A2FA-FF1E3324D209}"/>
  <mergeCells count="4">
    <mergeCell ref="A2:K2"/>
    <mergeCell ref="B4:C4"/>
    <mergeCell ref="D4:K4"/>
    <mergeCell ref="A7:K7"/>
  </mergeCells>
  <phoneticPr fontId="26" type="noConversion"/>
  <printOptions horizontalCentered="1"/>
  <pageMargins left="0.27559055118110237" right="0.35433070866141736" top="0.19685039370078741" bottom="0.55118110236220474" header="0.19685039370078741" footer="0.15748031496062992"/>
  <pageSetup scale="75" orientation="landscape" r:id="rId1"/>
  <headerFooter>
    <oddFooter>&amp;LPágina &amp;P de &amp;N&amp;R&amp;"Arial,Negrita Cursiva"&amp;8FCG-002
Revisión: "3"
Fecha: 03/2017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7BC44-6B7E-48DF-861C-CCCC34EDB048}">
  <sheetPr>
    <tabColor rgb="FF92D050"/>
  </sheetPr>
  <dimension ref="A1:N72"/>
  <sheetViews>
    <sheetView topLeftCell="A4" zoomScale="90" zoomScaleNormal="90" workbookViewId="0">
      <selection activeCell="C11" sqref="C11:K11"/>
    </sheetView>
  </sheetViews>
  <sheetFormatPr baseColWidth="10" defaultRowHeight="12.75" x14ac:dyDescent="0.2"/>
  <cols>
    <col min="1" max="1" width="5.140625" style="3" customWidth="1"/>
    <col min="2" max="2" width="9.42578125" style="1" customWidth="1"/>
    <col min="3" max="3" width="22.42578125" style="1" customWidth="1"/>
    <col min="4" max="4" width="16.28515625" style="3" customWidth="1"/>
    <col min="5" max="5" width="11.5703125" style="3" customWidth="1"/>
    <col min="6" max="6" width="11.85546875" style="3" bestFit="1" customWidth="1"/>
    <col min="7" max="7" width="12.42578125" style="3" customWidth="1"/>
    <col min="8" max="8" width="17.140625" style="3" customWidth="1"/>
    <col min="9" max="9" width="16.7109375" style="1" customWidth="1"/>
    <col min="10" max="10" width="16.140625" style="1" customWidth="1"/>
    <col min="11" max="11" width="26.5703125" style="1" customWidth="1"/>
    <col min="12" max="12" width="9.5703125" style="1" customWidth="1"/>
    <col min="13" max="16384" width="11.42578125" style="1"/>
  </cols>
  <sheetData>
    <row r="1" spans="1:14" ht="15" x14ac:dyDescent="0.2"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4" ht="15" x14ac:dyDescent="0.2">
      <c r="A2" s="141" t="s">
        <v>12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</row>
    <row r="3" spans="1:14" ht="15" x14ac:dyDescent="0.2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</row>
    <row r="4" spans="1:14" ht="15.75" customHeight="1" x14ac:dyDescent="0.2">
      <c r="A4" s="1"/>
      <c r="B4" s="142" t="s">
        <v>8</v>
      </c>
      <c r="C4" s="142"/>
      <c r="D4" s="143" t="s">
        <v>29</v>
      </c>
      <c r="E4" s="144"/>
      <c r="F4" s="144"/>
      <c r="G4" s="144"/>
      <c r="H4" s="144"/>
      <c r="I4" s="144"/>
      <c r="J4" s="144"/>
      <c r="K4" s="144"/>
    </row>
    <row r="5" spans="1:14" ht="13.5" thickBot="1" x14ac:dyDescent="0.25">
      <c r="J5" s="14" t="s">
        <v>0</v>
      </c>
      <c r="K5" s="26"/>
      <c r="L5" s="30">
        <f ca="1">TODAY()</f>
        <v>45864</v>
      </c>
      <c r="M5" s="1" t="s">
        <v>13</v>
      </c>
    </row>
    <row r="6" spans="1:14" s="2" customFormat="1" ht="67.5" customHeight="1" thickBot="1" x14ac:dyDescent="0.3">
      <c r="A6" s="15" t="s">
        <v>1</v>
      </c>
      <c r="B6" s="16" t="s">
        <v>14</v>
      </c>
      <c r="C6" s="16" t="s">
        <v>2</v>
      </c>
      <c r="D6" s="16" t="s">
        <v>6</v>
      </c>
      <c r="E6" s="16" t="s">
        <v>5</v>
      </c>
      <c r="F6" s="16" t="s">
        <v>4</v>
      </c>
      <c r="G6" s="16" t="s">
        <v>3</v>
      </c>
      <c r="H6" s="16" t="s">
        <v>9</v>
      </c>
      <c r="I6" s="16" t="s">
        <v>10</v>
      </c>
      <c r="J6" s="16" t="s">
        <v>11</v>
      </c>
      <c r="K6" s="17" t="s">
        <v>7</v>
      </c>
      <c r="L6" s="29"/>
      <c r="M6" s="10"/>
      <c r="N6" s="10"/>
    </row>
    <row r="7" spans="1:14" s="8" customFormat="1" ht="13.5" customHeight="1" x14ac:dyDescent="0.25">
      <c r="A7" s="145" t="s">
        <v>117</v>
      </c>
      <c r="B7" s="146"/>
      <c r="C7" s="146"/>
      <c r="D7" s="146"/>
      <c r="E7" s="146"/>
      <c r="F7" s="146"/>
      <c r="G7" s="146"/>
      <c r="H7" s="146"/>
      <c r="I7" s="146"/>
      <c r="J7" s="146"/>
      <c r="K7" s="147"/>
      <c r="L7" s="7"/>
    </row>
    <row r="8" spans="1:14" s="7" customFormat="1" ht="36.75" customHeight="1" x14ac:dyDescent="0.25">
      <c r="A8" s="6">
        <v>3</v>
      </c>
      <c r="B8" s="21"/>
      <c r="C8" s="41" t="s">
        <v>144</v>
      </c>
      <c r="D8" s="22" t="s">
        <v>45</v>
      </c>
      <c r="E8" s="41" t="s">
        <v>145</v>
      </c>
      <c r="F8" s="22" t="s">
        <v>146</v>
      </c>
      <c r="G8" s="5" t="s">
        <v>17</v>
      </c>
      <c r="H8" s="5" t="s">
        <v>18</v>
      </c>
      <c r="I8" s="24">
        <v>45227</v>
      </c>
      <c r="J8" s="24">
        <v>45593</v>
      </c>
      <c r="K8" s="13"/>
      <c r="L8" s="58">
        <f ca="1">J8-' por certificar junio'!L$5</f>
        <v>-271</v>
      </c>
    </row>
    <row r="9" spans="1:14" s="7" customFormat="1" ht="38.25" customHeight="1" x14ac:dyDescent="0.25">
      <c r="A9" s="6">
        <v>4</v>
      </c>
      <c r="B9" s="21"/>
      <c r="C9" s="41" t="s">
        <v>252</v>
      </c>
      <c r="D9" s="22" t="s">
        <v>45</v>
      </c>
      <c r="E9" s="41" t="s">
        <v>253</v>
      </c>
      <c r="F9" s="22" t="s">
        <v>146</v>
      </c>
      <c r="G9" s="5" t="s">
        <v>17</v>
      </c>
      <c r="H9" s="5" t="s">
        <v>18</v>
      </c>
      <c r="I9" s="24">
        <v>45227</v>
      </c>
      <c r="J9" s="24">
        <v>45593</v>
      </c>
      <c r="K9" s="13"/>
      <c r="L9" s="58">
        <f ca="1">J9-' por certificar junio'!L$5</f>
        <v>-271</v>
      </c>
    </row>
    <row r="10" spans="1:14" s="7" customFormat="1" ht="48" customHeight="1" x14ac:dyDescent="0.25">
      <c r="A10" s="6">
        <v>5</v>
      </c>
      <c r="B10" s="21"/>
      <c r="C10" s="37" t="s">
        <v>151</v>
      </c>
      <c r="D10" s="5">
        <v>189083189</v>
      </c>
      <c r="E10" s="9" t="s">
        <v>152</v>
      </c>
      <c r="F10" s="5" t="s">
        <v>153</v>
      </c>
      <c r="G10" s="5" t="s">
        <v>17</v>
      </c>
      <c r="H10" s="5" t="s">
        <v>18</v>
      </c>
      <c r="I10" s="24">
        <v>45378</v>
      </c>
      <c r="J10" s="24">
        <v>45743</v>
      </c>
      <c r="K10" s="12"/>
      <c r="L10" s="58">
        <f ca="1">J10-' por certificar junio'!L$5</f>
        <v>-121</v>
      </c>
    </row>
    <row r="11" spans="1:14" s="7" customFormat="1" ht="34.5" customHeight="1" x14ac:dyDescent="0.25">
      <c r="A11" s="6">
        <v>6</v>
      </c>
      <c r="B11" s="66"/>
      <c r="C11" s="41" t="s">
        <v>215</v>
      </c>
      <c r="D11" s="22" t="s">
        <v>216</v>
      </c>
      <c r="E11" s="41" t="s">
        <v>52</v>
      </c>
      <c r="F11" s="22" t="s">
        <v>53</v>
      </c>
      <c r="G11" s="5" t="s">
        <v>17</v>
      </c>
      <c r="H11" s="5" t="s">
        <v>51</v>
      </c>
      <c r="I11" s="24">
        <v>45613</v>
      </c>
      <c r="J11" s="24">
        <v>45794</v>
      </c>
      <c r="K11" s="86" t="s">
        <v>317</v>
      </c>
      <c r="L11" s="58">
        <f ca="1">J11-' por certificar junio'!L$5</f>
        <v>-70</v>
      </c>
    </row>
    <row r="12" spans="1:14" s="7" customFormat="1" ht="39" customHeight="1" x14ac:dyDescent="0.25">
      <c r="A12" s="6">
        <v>7</v>
      </c>
      <c r="B12" s="12"/>
      <c r="C12" s="41"/>
      <c r="D12" s="22"/>
      <c r="E12" s="41"/>
      <c r="F12" s="22"/>
      <c r="G12" s="5"/>
      <c r="H12" s="5"/>
      <c r="I12" s="24"/>
      <c r="J12" s="24"/>
      <c r="K12" s="27"/>
      <c r="L12" s="58">
        <f ca="1">J12-' por certificar junio'!L$5</f>
        <v>-45864</v>
      </c>
    </row>
    <row r="13" spans="1:14" s="7" customFormat="1" ht="38.25" customHeight="1" x14ac:dyDescent="0.25">
      <c r="A13" s="6">
        <v>8</v>
      </c>
      <c r="B13" s="12"/>
      <c r="C13" s="41"/>
      <c r="D13" s="22"/>
      <c r="E13" s="41"/>
      <c r="F13" s="22"/>
      <c r="G13" s="5"/>
      <c r="H13" s="5"/>
      <c r="I13" s="24"/>
      <c r="J13" s="24"/>
      <c r="K13" s="27"/>
      <c r="L13" s="58">
        <f ca="1">J13-' por certificar junio'!L$5</f>
        <v>-45864</v>
      </c>
    </row>
    <row r="14" spans="1:14" s="7" customFormat="1" ht="24" customHeight="1" x14ac:dyDescent="0.25">
      <c r="A14" s="6">
        <v>9</v>
      </c>
      <c r="B14" s="41"/>
      <c r="C14" s="41"/>
      <c r="D14" s="22"/>
      <c r="E14" s="41"/>
      <c r="F14" s="22"/>
      <c r="G14" s="5"/>
      <c r="H14" s="5"/>
      <c r="I14" s="24"/>
      <c r="J14" s="24"/>
      <c r="K14" s="27"/>
      <c r="L14" s="58">
        <f ca="1">J14-' por certificar junio'!L$5</f>
        <v>-45864</v>
      </c>
    </row>
    <row r="15" spans="1:14" s="7" customFormat="1" ht="24" customHeight="1" x14ac:dyDescent="0.25">
      <c r="A15" s="6">
        <v>10</v>
      </c>
      <c r="B15" s="41"/>
      <c r="C15" s="41"/>
      <c r="D15" s="41"/>
      <c r="E15" s="41"/>
      <c r="F15" s="22"/>
      <c r="G15" s="5"/>
      <c r="H15" s="5"/>
      <c r="I15" s="24"/>
      <c r="J15" s="24"/>
      <c r="K15" s="27"/>
      <c r="L15" s="58">
        <f ca="1">J15-' por certificar junio'!L$5</f>
        <v>-45864</v>
      </c>
    </row>
    <row r="16" spans="1:14" s="7" customFormat="1" ht="24" customHeight="1" x14ac:dyDescent="0.25">
      <c r="A16" s="6">
        <v>11</v>
      </c>
      <c r="B16" s="21"/>
      <c r="C16" s="5"/>
      <c r="D16" s="5"/>
      <c r="E16" s="9"/>
      <c r="F16" s="5"/>
      <c r="G16" s="5"/>
      <c r="H16" s="5"/>
      <c r="I16" s="24"/>
      <c r="J16" s="24"/>
      <c r="K16" s="27"/>
      <c r="L16" s="58">
        <f ca="1">J16-' por certificar junio'!L$5</f>
        <v>-45864</v>
      </c>
    </row>
    <row r="17" spans="1:12" s="7" customFormat="1" ht="33.75" customHeight="1" x14ac:dyDescent="0.25">
      <c r="A17" s="6">
        <v>12</v>
      </c>
      <c r="B17" s="34"/>
      <c r="C17" s="41"/>
      <c r="D17" s="22"/>
      <c r="E17" s="41"/>
      <c r="F17" s="22"/>
      <c r="G17" s="5"/>
      <c r="H17" s="5"/>
      <c r="I17" s="24"/>
      <c r="J17" s="24"/>
      <c r="K17" s="27"/>
      <c r="L17" s="58">
        <f ca="1">J17-' por certificar junio'!L$5</f>
        <v>-45864</v>
      </c>
    </row>
    <row r="18" spans="1:12" s="7" customFormat="1" ht="24" customHeight="1" x14ac:dyDescent="0.25">
      <c r="A18" s="6">
        <v>13</v>
      </c>
      <c r="B18" s="21"/>
      <c r="C18" s="5"/>
      <c r="D18" s="5"/>
      <c r="E18" s="9"/>
      <c r="F18" s="5"/>
      <c r="G18" s="5"/>
      <c r="H18" s="5"/>
      <c r="I18" s="24"/>
      <c r="J18" s="24"/>
      <c r="K18" s="13"/>
      <c r="L18" s="58">
        <f ca="1">J18-' por certificar junio'!L$5</f>
        <v>-45864</v>
      </c>
    </row>
    <row r="19" spans="1:12" s="7" customFormat="1" ht="24" customHeight="1" x14ac:dyDescent="0.25">
      <c r="A19" s="6">
        <v>13</v>
      </c>
      <c r="B19" s="21"/>
      <c r="C19" s="5"/>
      <c r="D19" s="5"/>
      <c r="E19" s="9"/>
      <c r="F19" s="5"/>
      <c r="G19" s="5"/>
      <c r="H19" s="5"/>
      <c r="I19" s="24"/>
      <c r="J19" s="24"/>
      <c r="K19" s="13"/>
      <c r="L19" s="58"/>
    </row>
    <row r="20" spans="1:12" s="7" customFormat="1" ht="24" customHeight="1" x14ac:dyDescent="0.25">
      <c r="A20" s="6">
        <v>14</v>
      </c>
      <c r="B20" s="21"/>
      <c r="C20" s="5"/>
      <c r="D20" s="5"/>
      <c r="E20" s="9"/>
      <c r="F20" s="5"/>
      <c r="G20" s="5"/>
      <c r="H20" s="5"/>
      <c r="I20" s="24"/>
      <c r="J20" s="24"/>
      <c r="K20" s="27"/>
      <c r="L20" s="58"/>
    </row>
    <row r="21" spans="1:12" s="7" customFormat="1" ht="24" customHeight="1" x14ac:dyDescent="0.25">
      <c r="A21" s="6">
        <v>15</v>
      </c>
      <c r="B21" s="21"/>
      <c r="C21" s="5"/>
      <c r="D21" s="5"/>
      <c r="E21" s="9"/>
      <c r="F21" s="5"/>
      <c r="G21" s="5"/>
      <c r="H21" s="5"/>
      <c r="I21" s="24"/>
      <c r="J21" s="24"/>
      <c r="K21" s="13"/>
      <c r="L21" s="58"/>
    </row>
    <row r="22" spans="1:12" s="7" customFormat="1" ht="24" customHeight="1" x14ac:dyDescent="0.25">
      <c r="A22" s="6">
        <v>16</v>
      </c>
      <c r="B22" s="66"/>
      <c r="C22" s="5"/>
      <c r="D22" s="5"/>
      <c r="E22" s="9"/>
      <c r="F22" s="5"/>
      <c r="G22" s="5"/>
      <c r="H22" s="5"/>
      <c r="I22" s="24"/>
      <c r="J22" s="24"/>
      <c r="K22" s="13"/>
      <c r="L22" s="58"/>
    </row>
    <row r="23" spans="1:12" s="7" customFormat="1" ht="43.5" customHeight="1" x14ac:dyDescent="0.25">
      <c r="A23" s="6">
        <v>17</v>
      </c>
      <c r="B23" s="66"/>
      <c r="C23" s="69"/>
      <c r="D23" s="54"/>
      <c r="E23" s="68"/>
      <c r="F23" s="5"/>
      <c r="G23" s="5"/>
      <c r="H23" s="5"/>
      <c r="I23" s="24"/>
      <c r="J23" s="24"/>
      <c r="K23" s="12"/>
      <c r="L23" s="58"/>
    </row>
    <row r="24" spans="1:12" s="7" customFormat="1" ht="39" customHeight="1" x14ac:dyDescent="0.25">
      <c r="A24" s="6">
        <v>18</v>
      </c>
      <c r="B24" s="12"/>
      <c r="C24" s="41"/>
      <c r="D24" s="22"/>
      <c r="E24" s="41"/>
      <c r="F24" s="22"/>
      <c r="G24" s="5"/>
      <c r="H24" s="5"/>
      <c r="I24" s="24"/>
      <c r="J24" s="24"/>
      <c r="K24" s="27"/>
      <c r="L24" s="58"/>
    </row>
    <row r="25" spans="1:12" s="7" customFormat="1" ht="38.25" customHeight="1" x14ac:dyDescent="0.25">
      <c r="A25" s="6">
        <v>19</v>
      </c>
      <c r="B25" s="12"/>
      <c r="C25" s="41"/>
      <c r="D25" s="22"/>
      <c r="E25" s="41"/>
      <c r="F25" s="22"/>
      <c r="G25" s="5"/>
      <c r="H25" s="5"/>
      <c r="I25" s="24"/>
      <c r="J25" s="24"/>
      <c r="K25" s="27"/>
      <c r="L25" s="58"/>
    </row>
    <row r="26" spans="1:12" s="7" customFormat="1" ht="37.5" customHeight="1" x14ac:dyDescent="0.25">
      <c r="A26" s="6">
        <v>20</v>
      </c>
      <c r="B26" s="12"/>
      <c r="C26" s="37"/>
      <c r="D26" s="5"/>
      <c r="E26" s="9"/>
      <c r="F26" s="5"/>
      <c r="G26" s="5"/>
      <c r="H26" s="5"/>
      <c r="I26" s="24"/>
      <c r="J26" s="24"/>
      <c r="K26" s="12"/>
      <c r="L26" s="77"/>
    </row>
    <row r="27" spans="1:12" s="7" customFormat="1" ht="37.5" customHeight="1" x14ac:dyDescent="0.25">
      <c r="A27" s="6">
        <v>21</v>
      </c>
      <c r="B27" s="41"/>
      <c r="C27" s="41"/>
      <c r="D27" s="41"/>
      <c r="E27" s="41"/>
      <c r="F27" s="22"/>
      <c r="G27" s="5"/>
      <c r="H27" s="5"/>
      <c r="I27" s="24"/>
      <c r="J27" s="24"/>
      <c r="K27" s="27"/>
      <c r="L27" s="58"/>
    </row>
    <row r="28" spans="1:12" s="7" customFormat="1" ht="37.5" customHeight="1" x14ac:dyDescent="0.25">
      <c r="A28" s="6">
        <v>22</v>
      </c>
      <c r="B28" s="41"/>
      <c r="C28" s="41"/>
      <c r="D28" s="22"/>
      <c r="E28" s="41"/>
      <c r="F28" s="22"/>
      <c r="G28" s="5"/>
      <c r="H28" s="5"/>
      <c r="I28" s="24"/>
      <c r="J28" s="24"/>
      <c r="K28" s="27"/>
      <c r="L28" s="58"/>
    </row>
    <row r="29" spans="1:12" s="7" customFormat="1" ht="33" customHeight="1" x14ac:dyDescent="0.25">
      <c r="A29" s="6">
        <v>23</v>
      </c>
      <c r="B29" s="21"/>
      <c r="C29" s="41"/>
      <c r="D29" s="22"/>
      <c r="E29" s="41"/>
      <c r="F29" s="22"/>
      <c r="G29" s="5"/>
      <c r="H29" s="5"/>
      <c r="I29" s="24"/>
      <c r="J29" s="24"/>
      <c r="K29" s="27"/>
      <c r="L29" s="58">
        <f t="shared" ref="L29:L72" ca="1" si="0">J29-L$5</f>
        <v>-45864</v>
      </c>
    </row>
    <row r="30" spans="1:12" s="7" customFormat="1" ht="27" customHeight="1" x14ac:dyDescent="0.25">
      <c r="A30" s="6">
        <v>24</v>
      </c>
      <c r="B30" s="20"/>
      <c r="C30" s="41"/>
      <c r="D30" s="22"/>
      <c r="E30" s="41"/>
      <c r="F30" s="41"/>
      <c r="G30" s="5"/>
      <c r="H30" s="64"/>
      <c r="I30" s="24"/>
      <c r="J30" s="24"/>
      <c r="K30" s="12"/>
      <c r="L30" s="58">
        <f t="shared" ca="1" si="0"/>
        <v>-45864</v>
      </c>
    </row>
    <row r="31" spans="1:12" s="7" customFormat="1" ht="34.5" customHeight="1" x14ac:dyDescent="0.25">
      <c r="A31" s="6">
        <v>25</v>
      </c>
      <c r="B31" s="20"/>
      <c r="C31" s="5"/>
      <c r="D31" s="41"/>
      <c r="E31" s="41"/>
      <c r="F31" s="41"/>
      <c r="G31" s="5"/>
      <c r="H31" s="64"/>
      <c r="I31" s="24"/>
      <c r="J31" s="24"/>
      <c r="K31" s="12"/>
      <c r="L31" s="58">
        <f t="shared" ca="1" si="0"/>
        <v>-45864</v>
      </c>
    </row>
    <row r="32" spans="1:12" s="7" customFormat="1" ht="39" customHeight="1" x14ac:dyDescent="0.25">
      <c r="A32" s="6">
        <v>26</v>
      </c>
      <c r="B32" s="20"/>
      <c r="C32" s="5"/>
      <c r="D32" s="5"/>
      <c r="E32" s="9"/>
      <c r="F32" s="5"/>
      <c r="G32" s="5"/>
      <c r="H32" s="64"/>
      <c r="I32" s="24"/>
      <c r="J32" s="24"/>
      <c r="K32" s="12"/>
      <c r="L32" s="58">
        <f t="shared" ca="1" si="0"/>
        <v>-45864</v>
      </c>
    </row>
    <row r="33" spans="1:12" ht="27" customHeight="1" x14ac:dyDescent="0.2">
      <c r="A33" s="6">
        <v>27</v>
      </c>
      <c r="B33" s="4"/>
      <c r="C33" s="5"/>
      <c r="D33" s="5"/>
      <c r="E33" s="9"/>
      <c r="F33" s="5"/>
      <c r="G33" s="5"/>
      <c r="H33" s="5"/>
      <c r="I33" s="24"/>
      <c r="J33" s="24"/>
      <c r="K33" s="12"/>
      <c r="L33" s="31">
        <f t="shared" ca="1" si="0"/>
        <v>-45864</v>
      </c>
    </row>
    <row r="34" spans="1:12" ht="33.75" customHeight="1" x14ac:dyDescent="0.2">
      <c r="A34" s="6">
        <v>28</v>
      </c>
      <c r="B34" s="4"/>
      <c r="C34" s="5"/>
      <c r="D34" s="5"/>
      <c r="E34" s="9"/>
      <c r="F34" s="5"/>
      <c r="G34" s="5"/>
      <c r="H34" s="5"/>
      <c r="I34" s="24"/>
      <c r="J34" s="24"/>
      <c r="K34" s="13"/>
      <c r="L34" s="58">
        <f t="shared" ca="1" si="0"/>
        <v>-45864</v>
      </c>
    </row>
    <row r="35" spans="1:12" ht="41.25" customHeight="1" x14ac:dyDescent="0.2">
      <c r="A35" s="6">
        <v>29</v>
      </c>
      <c r="B35" s="4"/>
      <c r="C35" s="5"/>
      <c r="D35" s="5"/>
      <c r="E35" s="9"/>
      <c r="F35" s="5"/>
      <c r="G35" s="5"/>
      <c r="H35" s="5"/>
      <c r="I35" s="24"/>
      <c r="J35" s="24"/>
      <c r="K35" s="13"/>
      <c r="L35" s="58">
        <f t="shared" ca="1" si="0"/>
        <v>-45864</v>
      </c>
    </row>
    <row r="36" spans="1:12" ht="45.75" customHeight="1" x14ac:dyDescent="0.2">
      <c r="A36" s="6">
        <v>30</v>
      </c>
      <c r="B36" s="4"/>
      <c r="C36" s="5"/>
      <c r="D36" s="5"/>
      <c r="E36" s="9"/>
      <c r="F36" s="5"/>
      <c r="G36" s="5"/>
      <c r="H36" s="5"/>
      <c r="I36" s="24"/>
      <c r="J36" s="24"/>
      <c r="K36" s="13"/>
      <c r="L36" s="58">
        <f t="shared" ca="1" si="0"/>
        <v>-45864</v>
      </c>
    </row>
    <row r="37" spans="1:12" ht="60" customHeight="1" x14ac:dyDescent="0.2">
      <c r="A37" s="6">
        <v>31</v>
      </c>
      <c r="B37" s="4"/>
      <c r="C37" s="5"/>
      <c r="D37" s="5"/>
      <c r="E37" s="67"/>
      <c r="F37" s="5"/>
      <c r="G37" s="5"/>
      <c r="H37" s="5"/>
      <c r="I37" s="24"/>
      <c r="J37" s="24"/>
      <c r="K37" s="13"/>
      <c r="L37" s="58">
        <f t="shared" ca="1" si="0"/>
        <v>-45864</v>
      </c>
    </row>
    <row r="38" spans="1:12" ht="60" customHeight="1" x14ac:dyDescent="0.2">
      <c r="A38" s="6">
        <v>32</v>
      </c>
      <c r="B38" s="4"/>
      <c r="C38" s="5"/>
      <c r="D38" s="5"/>
      <c r="E38" s="67"/>
      <c r="F38" s="5"/>
      <c r="G38" s="5"/>
      <c r="H38" s="5"/>
      <c r="I38" s="24"/>
      <c r="J38" s="24"/>
      <c r="K38" s="13"/>
      <c r="L38" s="58">
        <f t="shared" ca="1" si="0"/>
        <v>-45864</v>
      </c>
    </row>
    <row r="39" spans="1:12" ht="45.75" customHeight="1" x14ac:dyDescent="0.2">
      <c r="A39" s="6">
        <v>33</v>
      </c>
      <c r="B39" s="4"/>
      <c r="C39" s="5"/>
      <c r="D39" s="5"/>
      <c r="E39" s="9"/>
      <c r="F39" s="5"/>
      <c r="G39" s="5"/>
      <c r="H39" s="5"/>
      <c r="I39" s="24"/>
      <c r="J39" s="24"/>
      <c r="K39" s="13"/>
      <c r="L39" s="31">
        <f t="shared" ca="1" si="0"/>
        <v>-45864</v>
      </c>
    </row>
    <row r="40" spans="1:12" ht="39.75" customHeight="1" x14ac:dyDescent="0.2">
      <c r="A40" s="6">
        <v>34</v>
      </c>
      <c r="B40" s="4"/>
      <c r="C40" s="5"/>
      <c r="D40" s="5"/>
      <c r="E40" s="9"/>
      <c r="F40" s="5"/>
      <c r="G40" s="5"/>
      <c r="H40" s="5"/>
      <c r="I40" s="24"/>
      <c r="J40" s="24"/>
      <c r="K40" s="13"/>
      <c r="L40" s="58">
        <f t="shared" ca="1" si="0"/>
        <v>-45864</v>
      </c>
    </row>
    <row r="41" spans="1:12" ht="21.75" customHeight="1" x14ac:dyDescent="0.2">
      <c r="A41" s="6">
        <v>35</v>
      </c>
      <c r="B41" s="4"/>
      <c r="C41" s="5"/>
      <c r="D41" s="5"/>
      <c r="E41" s="9"/>
      <c r="F41" s="5"/>
      <c r="G41" s="5"/>
      <c r="H41" s="5"/>
      <c r="I41" s="24"/>
      <c r="J41" s="24"/>
      <c r="K41" s="13"/>
      <c r="L41" s="58">
        <f t="shared" ca="1" si="0"/>
        <v>-45864</v>
      </c>
    </row>
    <row r="42" spans="1:12" ht="21.75" customHeight="1" x14ac:dyDescent="0.2">
      <c r="A42" s="6">
        <v>36</v>
      </c>
      <c r="B42" s="4"/>
      <c r="C42" s="5"/>
      <c r="D42" s="64"/>
      <c r="E42" s="9"/>
      <c r="F42" s="5"/>
      <c r="G42" s="5"/>
      <c r="H42" s="5"/>
      <c r="I42" s="24"/>
      <c r="J42" s="24"/>
      <c r="K42" s="13"/>
      <c r="L42" s="31">
        <f t="shared" ca="1" si="0"/>
        <v>-45864</v>
      </c>
    </row>
    <row r="43" spans="1:12" ht="21.75" customHeight="1" x14ac:dyDescent="0.2">
      <c r="A43" s="6">
        <v>37</v>
      </c>
      <c r="B43" s="4"/>
      <c r="C43" s="5"/>
      <c r="D43" s="5"/>
      <c r="E43" s="9"/>
      <c r="F43" s="5"/>
      <c r="G43" s="5"/>
      <c r="H43" s="5"/>
      <c r="I43" s="24"/>
      <c r="J43" s="24"/>
      <c r="K43" s="13"/>
      <c r="L43" s="31">
        <f t="shared" ca="1" si="0"/>
        <v>-45864</v>
      </c>
    </row>
    <row r="44" spans="1:12" ht="24" customHeight="1" x14ac:dyDescent="0.2">
      <c r="A44" s="6">
        <v>38</v>
      </c>
      <c r="B44" s="4"/>
      <c r="C44" s="5"/>
      <c r="D44" s="5"/>
      <c r="E44" s="9"/>
      <c r="F44" s="5"/>
      <c r="G44" s="5"/>
      <c r="H44" s="5"/>
      <c r="I44" s="24"/>
      <c r="J44" s="24"/>
      <c r="K44" s="13"/>
      <c r="L44" s="58">
        <f t="shared" ca="1" si="0"/>
        <v>-45864</v>
      </c>
    </row>
    <row r="45" spans="1:12" ht="38.25" customHeight="1" x14ac:dyDescent="0.2">
      <c r="A45" s="6">
        <v>39</v>
      </c>
      <c r="B45" s="4"/>
      <c r="C45" s="5"/>
      <c r="D45" s="5"/>
      <c r="E45" s="9"/>
      <c r="F45" s="49"/>
      <c r="G45" s="5"/>
      <c r="H45" s="5"/>
      <c r="I45" s="24"/>
      <c r="J45" s="24"/>
      <c r="K45" s="13"/>
      <c r="L45" s="31">
        <f t="shared" ca="1" si="0"/>
        <v>-45864</v>
      </c>
    </row>
    <row r="46" spans="1:12" ht="38.25" customHeight="1" x14ac:dyDescent="0.2">
      <c r="A46" s="6">
        <v>40</v>
      </c>
      <c r="B46" s="4"/>
      <c r="C46" s="5"/>
      <c r="D46" s="5"/>
      <c r="E46" s="9"/>
      <c r="F46" s="49"/>
      <c r="G46" s="5"/>
      <c r="H46" s="5"/>
      <c r="I46" s="24"/>
      <c r="J46" s="24"/>
      <c r="K46" s="13"/>
      <c r="L46" s="31">
        <f t="shared" ca="1" si="0"/>
        <v>-45864</v>
      </c>
    </row>
    <row r="47" spans="1:12" ht="38.25" customHeight="1" x14ac:dyDescent="0.2">
      <c r="A47" s="6">
        <v>41</v>
      </c>
      <c r="B47" s="4"/>
      <c r="C47" s="5"/>
      <c r="D47" s="5"/>
      <c r="E47" s="9"/>
      <c r="F47" s="49"/>
      <c r="G47" s="5"/>
      <c r="H47" s="5"/>
      <c r="I47" s="24"/>
      <c r="J47" s="24"/>
      <c r="K47" s="13"/>
      <c r="L47" s="31">
        <f t="shared" ca="1" si="0"/>
        <v>-45864</v>
      </c>
    </row>
    <row r="48" spans="1:12" ht="34.5" customHeight="1" x14ac:dyDescent="0.2">
      <c r="A48" s="6">
        <v>42</v>
      </c>
      <c r="B48" s="4"/>
      <c r="C48" s="5"/>
      <c r="D48" s="5"/>
      <c r="E48" s="9"/>
      <c r="F48" s="5"/>
      <c r="G48" s="5"/>
      <c r="H48" s="5"/>
      <c r="I48" s="24"/>
      <c r="J48" s="24"/>
      <c r="K48" s="13"/>
      <c r="L48" s="31">
        <f t="shared" ca="1" si="0"/>
        <v>-45864</v>
      </c>
    </row>
    <row r="49" spans="1:12" ht="36" customHeight="1" x14ac:dyDescent="0.2">
      <c r="A49" s="6">
        <v>43</v>
      </c>
      <c r="B49" s="4"/>
      <c r="C49" s="5"/>
      <c r="D49" s="5"/>
      <c r="E49" s="9"/>
      <c r="F49" s="5"/>
      <c r="G49" s="5"/>
      <c r="H49" s="5"/>
      <c r="I49" s="24"/>
      <c r="J49" s="24"/>
      <c r="K49" s="13"/>
      <c r="L49" s="58">
        <f t="shared" ca="1" si="0"/>
        <v>-45864</v>
      </c>
    </row>
    <row r="50" spans="1:12" ht="24" customHeight="1" x14ac:dyDescent="0.2">
      <c r="A50" s="6">
        <v>44</v>
      </c>
      <c r="B50" s="4"/>
      <c r="C50" s="5"/>
      <c r="D50" s="5"/>
      <c r="E50" s="9"/>
      <c r="F50" s="5"/>
      <c r="G50" s="5"/>
      <c r="H50" s="5"/>
      <c r="I50" s="24"/>
      <c r="J50" s="24"/>
      <c r="K50" s="13"/>
      <c r="L50" s="58">
        <f t="shared" ca="1" si="0"/>
        <v>-45864</v>
      </c>
    </row>
    <row r="51" spans="1:12" ht="24" customHeight="1" x14ac:dyDescent="0.2">
      <c r="A51" s="6">
        <v>45</v>
      </c>
      <c r="B51" s="4"/>
      <c r="C51" s="5"/>
      <c r="D51" s="5"/>
      <c r="E51" s="9"/>
      <c r="F51" s="5"/>
      <c r="G51" s="5"/>
      <c r="H51" s="5"/>
      <c r="I51" s="24"/>
      <c r="J51" s="24"/>
      <c r="K51" s="13"/>
      <c r="L51" s="58">
        <f t="shared" ca="1" si="0"/>
        <v>-45864</v>
      </c>
    </row>
    <row r="52" spans="1:12" ht="24" customHeight="1" x14ac:dyDescent="0.2">
      <c r="A52" s="6">
        <v>46</v>
      </c>
      <c r="B52" s="4"/>
      <c r="C52" s="5"/>
      <c r="D52" s="5"/>
      <c r="E52" s="9"/>
      <c r="F52" s="5"/>
      <c r="G52" s="5"/>
      <c r="H52" s="5"/>
      <c r="I52" s="24"/>
      <c r="J52" s="24"/>
      <c r="K52" s="13"/>
      <c r="L52" s="31">
        <f t="shared" ca="1" si="0"/>
        <v>-45864</v>
      </c>
    </row>
    <row r="53" spans="1:12" ht="24" customHeight="1" x14ac:dyDescent="0.2">
      <c r="A53" s="6"/>
      <c r="B53" s="4"/>
      <c r="C53" s="5"/>
      <c r="D53" s="5"/>
      <c r="E53" s="9"/>
      <c r="F53" s="5"/>
      <c r="G53" s="5"/>
      <c r="H53" s="5"/>
      <c r="I53" s="24"/>
      <c r="J53" s="24"/>
      <c r="K53" s="13"/>
      <c r="L53" s="31">
        <f t="shared" ca="1" si="0"/>
        <v>-45864</v>
      </c>
    </row>
    <row r="54" spans="1:12" ht="24" customHeight="1" x14ac:dyDescent="0.2">
      <c r="A54" s="6"/>
      <c r="B54" s="4"/>
      <c r="C54" s="5"/>
      <c r="D54" s="5"/>
      <c r="E54" s="9"/>
      <c r="F54" s="5"/>
      <c r="G54" s="5"/>
      <c r="H54" s="5"/>
      <c r="I54" s="24"/>
      <c r="J54" s="24"/>
      <c r="K54" s="13"/>
      <c r="L54" s="31">
        <f t="shared" ca="1" si="0"/>
        <v>-45864</v>
      </c>
    </row>
    <row r="55" spans="1:12" ht="24" customHeight="1" x14ac:dyDescent="0.2">
      <c r="A55" s="71"/>
      <c r="B55" s="72"/>
      <c r="C55" s="73"/>
      <c r="D55" s="73"/>
      <c r="E55" s="74"/>
      <c r="F55" s="73"/>
      <c r="G55" s="73"/>
      <c r="H55" s="73"/>
      <c r="I55" s="75"/>
      <c r="J55" s="75"/>
      <c r="K55" s="76"/>
      <c r="L55" s="31">
        <f t="shared" ca="1" si="0"/>
        <v>-45864</v>
      </c>
    </row>
    <row r="56" spans="1:12" ht="24" customHeight="1" x14ac:dyDescent="0.2">
      <c r="A56" s="6">
        <v>50</v>
      </c>
      <c r="B56" s="5"/>
      <c r="C56" s="5"/>
      <c r="D56" s="5"/>
      <c r="E56" s="9"/>
      <c r="F56" s="5"/>
      <c r="G56" s="5"/>
      <c r="H56" s="5"/>
      <c r="I56" s="24"/>
      <c r="J56" s="24"/>
      <c r="K56" s="13"/>
      <c r="L56" s="31">
        <f t="shared" ca="1" si="0"/>
        <v>-45864</v>
      </c>
    </row>
    <row r="57" spans="1:12" ht="24" customHeight="1" x14ac:dyDescent="0.2">
      <c r="A57" s="6">
        <v>51</v>
      </c>
      <c r="B57" s="4"/>
      <c r="C57" s="5"/>
      <c r="D57" s="5"/>
      <c r="E57" s="9"/>
      <c r="F57" s="5"/>
      <c r="G57" s="5"/>
      <c r="H57" s="5"/>
      <c r="I57" s="24"/>
      <c r="J57" s="24"/>
      <c r="K57" s="13"/>
      <c r="L57" s="58">
        <f t="shared" ca="1" si="0"/>
        <v>-45864</v>
      </c>
    </row>
    <row r="58" spans="1:12" ht="24" customHeight="1" x14ac:dyDescent="0.2">
      <c r="A58" s="6"/>
      <c r="B58" s="5"/>
      <c r="C58" s="5"/>
      <c r="D58" s="5"/>
      <c r="E58" s="9"/>
      <c r="F58" s="5"/>
      <c r="G58" s="5"/>
      <c r="H58" s="5"/>
      <c r="I58" s="24"/>
      <c r="J58" s="24"/>
      <c r="K58" s="13"/>
      <c r="L58" s="31">
        <f t="shared" ca="1" si="0"/>
        <v>-45864</v>
      </c>
    </row>
    <row r="59" spans="1:12" ht="24" customHeight="1" x14ac:dyDescent="0.2">
      <c r="A59" s="6"/>
      <c r="B59" s="5"/>
      <c r="C59" s="5"/>
      <c r="D59" s="5"/>
      <c r="E59" s="9"/>
      <c r="F59" s="5"/>
      <c r="G59" s="5"/>
      <c r="H59" s="5"/>
      <c r="I59" s="24"/>
      <c r="J59" s="24"/>
      <c r="K59" s="13"/>
      <c r="L59" s="31">
        <f t="shared" ca="1" si="0"/>
        <v>-45864</v>
      </c>
    </row>
    <row r="60" spans="1:12" ht="24" customHeight="1" x14ac:dyDescent="0.2">
      <c r="A60" s="6"/>
      <c r="B60" s="5"/>
      <c r="C60" s="5"/>
      <c r="D60" s="5"/>
      <c r="E60" s="9"/>
      <c r="F60" s="5"/>
      <c r="G60" s="5"/>
      <c r="H60" s="5"/>
      <c r="I60" s="24"/>
      <c r="J60" s="24"/>
      <c r="K60" s="13"/>
      <c r="L60" s="31">
        <f t="shared" ca="1" si="0"/>
        <v>-45864</v>
      </c>
    </row>
    <row r="61" spans="1:12" ht="24" customHeight="1" x14ac:dyDescent="0.2">
      <c r="A61" s="6"/>
      <c r="B61" s="5"/>
      <c r="C61" s="5"/>
      <c r="D61" s="5"/>
      <c r="E61" s="9"/>
      <c r="F61" s="5"/>
      <c r="G61" s="5"/>
      <c r="H61" s="5"/>
      <c r="I61" s="24"/>
      <c r="J61" s="24"/>
      <c r="K61" s="13"/>
      <c r="L61" s="31">
        <f t="shared" ca="1" si="0"/>
        <v>-45864</v>
      </c>
    </row>
    <row r="62" spans="1:12" ht="24" customHeight="1" x14ac:dyDescent="0.2">
      <c r="A62" s="6"/>
      <c r="B62" s="5"/>
      <c r="C62" s="5"/>
      <c r="D62" s="5"/>
      <c r="E62" s="9"/>
      <c r="F62" s="5"/>
      <c r="G62" s="5"/>
      <c r="H62" s="5"/>
      <c r="I62" s="24"/>
      <c r="J62" s="24"/>
      <c r="K62" s="13"/>
      <c r="L62" s="31">
        <f t="shared" ca="1" si="0"/>
        <v>-45864</v>
      </c>
    </row>
    <row r="63" spans="1:12" ht="24" customHeight="1" x14ac:dyDescent="0.2">
      <c r="A63" s="6"/>
      <c r="B63" s="5"/>
      <c r="C63" s="5"/>
      <c r="D63" s="5"/>
      <c r="E63" s="9"/>
      <c r="F63" s="5"/>
      <c r="G63" s="5"/>
      <c r="H63" s="5"/>
      <c r="I63" s="24"/>
      <c r="J63" s="24"/>
      <c r="K63" s="13"/>
      <c r="L63" s="31">
        <f t="shared" ca="1" si="0"/>
        <v>-45864</v>
      </c>
    </row>
    <row r="64" spans="1:12" ht="24" customHeight="1" x14ac:dyDescent="0.2">
      <c r="A64" s="6"/>
      <c r="B64" s="5"/>
      <c r="C64" s="5"/>
      <c r="D64" s="5"/>
      <c r="E64" s="9"/>
      <c r="F64" s="5"/>
      <c r="G64" s="5"/>
      <c r="H64" s="5"/>
      <c r="I64" s="24"/>
      <c r="J64" s="24"/>
      <c r="K64" s="13"/>
      <c r="L64" s="31">
        <f t="shared" ca="1" si="0"/>
        <v>-45864</v>
      </c>
    </row>
    <row r="65" spans="1:12" ht="24" customHeight="1" x14ac:dyDescent="0.2">
      <c r="A65" s="6"/>
      <c r="B65" s="5"/>
      <c r="C65" s="5"/>
      <c r="D65" s="5"/>
      <c r="E65" s="9"/>
      <c r="F65" s="5"/>
      <c r="G65" s="5"/>
      <c r="H65" s="5"/>
      <c r="I65" s="24"/>
      <c r="J65" s="24"/>
      <c r="K65" s="13"/>
      <c r="L65" s="31">
        <f t="shared" ca="1" si="0"/>
        <v>-45864</v>
      </c>
    </row>
    <row r="66" spans="1:12" ht="24" customHeight="1" x14ac:dyDescent="0.2">
      <c r="A66" s="6"/>
      <c r="B66" s="5"/>
      <c r="C66" s="5"/>
      <c r="D66" s="5"/>
      <c r="E66" s="9"/>
      <c r="F66" s="5"/>
      <c r="G66" s="5"/>
      <c r="H66" s="5"/>
      <c r="I66" s="24"/>
      <c r="J66" s="24"/>
      <c r="K66" s="13"/>
      <c r="L66" s="58">
        <f t="shared" ca="1" si="0"/>
        <v>-45864</v>
      </c>
    </row>
    <row r="67" spans="1:12" ht="24" customHeight="1" x14ac:dyDescent="0.2">
      <c r="A67" s="6"/>
      <c r="B67" s="5"/>
      <c r="C67" s="5"/>
      <c r="D67" s="5"/>
      <c r="E67" s="9"/>
      <c r="F67" s="5"/>
      <c r="G67" s="5"/>
      <c r="H67" s="5"/>
      <c r="I67" s="24"/>
      <c r="J67" s="24"/>
      <c r="K67" s="13"/>
      <c r="L67" s="58">
        <f t="shared" ca="1" si="0"/>
        <v>-45864</v>
      </c>
    </row>
    <row r="68" spans="1:12" ht="24" customHeight="1" x14ac:dyDescent="0.2">
      <c r="A68" s="6">
        <v>62</v>
      </c>
      <c r="B68" s="5"/>
      <c r="C68" s="5"/>
      <c r="D68" s="5"/>
      <c r="E68" s="9"/>
      <c r="F68" s="5"/>
      <c r="G68" s="5"/>
      <c r="H68" s="5"/>
      <c r="I68" s="24"/>
      <c r="J68" s="24"/>
      <c r="K68" s="13"/>
      <c r="L68" s="58">
        <f t="shared" ca="1" si="0"/>
        <v>-45864</v>
      </c>
    </row>
    <row r="69" spans="1:12" ht="24" customHeight="1" x14ac:dyDescent="0.2">
      <c r="A69" s="6">
        <v>63</v>
      </c>
      <c r="B69" s="5"/>
      <c r="C69" s="5"/>
      <c r="D69" s="5"/>
      <c r="E69" s="9"/>
      <c r="F69" s="5"/>
      <c r="G69" s="5"/>
      <c r="H69" s="5"/>
      <c r="I69" s="24"/>
      <c r="J69" s="24"/>
      <c r="K69" s="13"/>
      <c r="L69" s="58">
        <f t="shared" ca="1" si="0"/>
        <v>-45864</v>
      </c>
    </row>
    <row r="70" spans="1:12" ht="24" customHeight="1" x14ac:dyDescent="0.2">
      <c r="A70" s="6"/>
      <c r="B70" s="5"/>
      <c r="C70" s="5"/>
      <c r="D70" s="5"/>
      <c r="E70" s="9"/>
      <c r="F70" s="5"/>
      <c r="G70" s="5"/>
      <c r="H70" s="5"/>
      <c r="I70" s="24"/>
      <c r="J70" s="24"/>
      <c r="K70" s="13"/>
      <c r="L70" s="31">
        <f t="shared" ca="1" si="0"/>
        <v>-45864</v>
      </c>
    </row>
    <row r="71" spans="1:12" ht="24" customHeight="1" x14ac:dyDescent="0.2">
      <c r="A71" s="6"/>
      <c r="B71" s="5"/>
      <c r="C71" s="5"/>
      <c r="D71" s="5"/>
      <c r="E71" s="9"/>
      <c r="F71" s="5"/>
      <c r="G71" s="5"/>
      <c r="H71" s="5"/>
      <c r="I71" s="24"/>
      <c r="J71" s="24"/>
      <c r="K71" s="13"/>
      <c r="L71" s="31">
        <f t="shared" ca="1" si="0"/>
        <v>-45864</v>
      </c>
    </row>
    <row r="72" spans="1:12" ht="24" customHeight="1" x14ac:dyDescent="0.2">
      <c r="A72" s="6"/>
      <c r="B72" s="4"/>
      <c r="C72" s="4"/>
      <c r="D72" s="5"/>
      <c r="E72" s="9"/>
      <c r="F72" s="5"/>
      <c r="G72" s="5"/>
      <c r="H72" s="5"/>
      <c r="I72" s="18"/>
      <c r="J72" s="18"/>
      <c r="K72" s="12"/>
      <c r="L72" s="31">
        <f t="shared" ca="1" si="0"/>
        <v>-45864</v>
      </c>
    </row>
  </sheetData>
  <mergeCells count="4">
    <mergeCell ref="A2:K2"/>
    <mergeCell ref="B4:C4"/>
    <mergeCell ref="D4:K4"/>
    <mergeCell ref="A7:K7"/>
  </mergeCells>
  <printOptions horizontalCentered="1"/>
  <pageMargins left="0.27559055118110237" right="0.35433070866141736" top="0.19685039370078741" bottom="0.55118110236220474" header="0.19685039370078741" footer="0.15748031496062992"/>
  <pageSetup scale="75" orientation="landscape" r:id="rId1"/>
  <headerFooter>
    <oddFooter>&amp;LPágina &amp;P de &amp;N&amp;R&amp;"Arial,Negrita Cursiva"&amp;8FCG-002
Revisión: "3"
Fecha: 03/2017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44448-4EB7-42BA-942D-65B404563878}">
  <sheetPr>
    <tabColor rgb="FF92D050"/>
  </sheetPr>
  <dimension ref="A1:N49"/>
  <sheetViews>
    <sheetView zoomScale="90" zoomScaleNormal="90" workbookViewId="0">
      <selection activeCell="G12" sqref="G12"/>
    </sheetView>
  </sheetViews>
  <sheetFormatPr baseColWidth="10" defaultRowHeight="12.75" x14ac:dyDescent="0.2"/>
  <cols>
    <col min="1" max="1" width="5.140625" style="3" customWidth="1"/>
    <col min="2" max="2" width="9.42578125" style="1" customWidth="1"/>
    <col min="3" max="3" width="22.42578125" style="1" customWidth="1"/>
    <col min="4" max="4" width="16.28515625" style="3" customWidth="1"/>
    <col min="5" max="5" width="11.5703125" style="3" customWidth="1"/>
    <col min="6" max="6" width="11.85546875" style="3" bestFit="1" customWidth="1"/>
    <col min="7" max="7" width="12.42578125" style="3" customWidth="1"/>
    <col min="8" max="8" width="17.140625" style="3" customWidth="1"/>
    <col min="9" max="9" width="16.7109375" style="1" customWidth="1"/>
    <col min="10" max="10" width="16.140625" style="1" customWidth="1"/>
    <col min="11" max="11" width="26.5703125" style="1" customWidth="1"/>
    <col min="12" max="12" width="9.5703125" style="1" customWidth="1"/>
    <col min="13" max="16384" width="11.42578125" style="1"/>
  </cols>
  <sheetData>
    <row r="1" spans="1:14" ht="15" x14ac:dyDescent="0.2"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4" ht="15" x14ac:dyDescent="0.2">
      <c r="A2" s="141" t="s">
        <v>12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</row>
    <row r="3" spans="1:14" ht="15" x14ac:dyDescent="0.2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</row>
    <row r="4" spans="1:14" ht="15.75" customHeight="1" x14ac:dyDescent="0.2">
      <c r="A4" s="1"/>
      <c r="B4" s="142" t="s">
        <v>8</v>
      </c>
      <c r="C4" s="142"/>
      <c r="D4" s="143" t="s">
        <v>29</v>
      </c>
      <c r="E4" s="144"/>
      <c r="F4" s="144"/>
      <c r="G4" s="144"/>
      <c r="H4" s="144"/>
      <c r="I4" s="144"/>
      <c r="J4" s="144"/>
      <c r="K4" s="144"/>
    </row>
    <row r="5" spans="1:14" ht="13.5" thickBot="1" x14ac:dyDescent="0.25">
      <c r="J5" s="14" t="s">
        <v>0</v>
      </c>
      <c r="K5" s="26"/>
      <c r="L5" s="30">
        <f ca="1">TODAY()</f>
        <v>45864</v>
      </c>
      <c r="M5" s="1" t="s">
        <v>13</v>
      </c>
    </row>
    <row r="6" spans="1:14" s="2" customFormat="1" ht="67.5" customHeight="1" thickBot="1" x14ac:dyDescent="0.3">
      <c r="A6" s="15" t="s">
        <v>1</v>
      </c>
      <c r="B6" s="16" t="s">
        <v>14</v>
      </c>
      <c r="C6" s="16" t="s">
        <v>2</v>
      </c>
      <c r="D6" s="16" t="s">
        <v>6</v>
      </c>
      <c r="E6" s="16" t="s">
        <v>5</v>
      </c>
      <c r="F6" s="16" t="s">
        <v>4</v>
      </c>
      <c r="G6" s="16" t="s">
        <v>3</v>
      </c>
      <c r="H6" s="16" t="s">
        <v>9</v>
      </c>
      <c r="I6" s="16" t="s">
        <v>10</v>
      </c>
      <c r="J6" s="16" t="s">
        <v>11</v>
      </c>
      <c r="K6" s="17" t="s">
        <v>7</v>
      </c>
      <c r="L6" s="29"/>
      <c r="M6" s="10"/>
      <c r="N6" s="10"/>
    </row>
    <row r="7" spans="1:14" s="8" customFormat="1" ht="13.5" customHeight="1" x14ac:dyDescent="0.25">
      <c r="A7" s="145" t="s">
        <v>117</v>
      </c>
      <c r="B7" s="146"/>
      <c r="C7" s="146"/>
      <c r="D7" s="146"/>
      <c r="E7" s="146"/>
      <c r="F7" s="146"/>
      <c r="G7" s="146"/>
      <c r="H7" s="146"/>
      <c r="I7" s="146"/>
      <c r="J7" s="146"/>
      <c r="K7" s="147"/>
      <c r="L7" s="7"/>
    </row>
    <row r="8" spans="1:14" s="7" customFormat="1" ht="34.5" customHeight="1" x14ac:dyDescent="0.25">
      <c r="A8" s="157" t="s">
        <v>459</v>
      </c>
      <c r="B8" s="158"/>
      <c r="C8" s="158"/>
      <c r="D8" s="158"/>
      <c r="E8" s="158"/>
      <c r="F8" s="158"/>
      <c r="G8" s="158"/>
      <c r="H8" s="158"/>
      <c r="I8" s="158"/>
      <c r="J8" s="158"/>
      <c r="K8" s="159"/>
      <c r="L8" s="31"/>
    </row>
    <row r="9" spans="1:14" s="7" customFormat="1" ht="24" customHeight="1" x14ac:dyDescent="0.25">
      <c r="A9" s="59">
        <v>20</v>
      </c>
      <c r="B9" s="12"/>
      <c r="C9" s="5" t="s">
        <v>308</v>
      </c>
      <c r="D9" s="5" t="s">
        <v>311</v>
      </c>
      <c r="E9" s="9" t="s">
        <v>309</v>
      </c>
      <c r="F9" s="5" t="s">
        <v>310</v>
      </c>
      <c r="G9" s="5" t="s">
        <v>17</v>
      </c>
      <c r="H9" s="5" t="s">
        <v>51</v>
      </c>
      <c r="I9" s="24">
        <v>45643</v>
      </c>
      <c r="J9" s="24">
        <v>45825</v>
      </c>
      <c r="K9" s="12"/>
      <c r="L9" s="31">
        <f ca="1">J9-L$5</f>
        <v>-39</v>
      </c>
    </row>
    <row r="10" spans="1:14" ht="18" x14ac:dyDescent="0.25">
      <c r="A10" s="59"/>
      <c r="B10" s="136"/>
      <c r="C10" s="137"/>
      <c r="D10" s="137"/>
      <c r="E10" s="137"/>
      <c r="F10" s="137"/>
      <c r="G10" s="137"/>
      <c r="H10" s="137"/>
      <c r="I10" s="137"/>
      <c r="J10" s="137"/>
      <c r="K10" s="137"/>
      <c r="L10" s="31"/>
    </row>
    <row r="11" spans="1:14" s="7" customFormat="1" ht="39" customHeight="1" x14ac:dyDescent="0.25">
      <c r="A11" s="6"/>
      <c r="B11" s="5"/>
      <c r="C11" s="41"/>
      <c r="D11" s="22"/>
      <c r="E11" s="41"/>
      <c r="F11" s="22"/>
      <c r="G11" s="5"/>
      <c r="H11" s="5"/>
      <c r="I11" s="24"/>
      <c r="J11" s="24"/>
      <c r="K11" s="86"/>
      <c r="L11" s="31">
        <f t="shared" ref="L11" ca="1" si="0">J11-L$5</f>
        <v>-45864</v>
      </c>
      <c r="M11" s="58"/>
    </row>
    <row r="12" spans="1:14" ht="27" customHeight="1" x14ac:dyDescent="0.2">
      <c r="A12" s="6"/>
      <c r="B12" s="5"/>
      <c r="C12" s="5"/>
      <c r="D12" s="5"/>
      <c r="E12" s="9"/>
      <c r="F12" s="5"/>
      <c r="G12" s="5"/>
      <c r="H12" s="5"/>
      <c r="I12" s="24"/>
      <c r="J12" s="24"/>
      <c r="K12" s="24"/>
      <c r="L12" s="58"/>
      <c r="M12" s="31"/>
    </row>
    <row r="13" spans="1:14" ht="45.75" customHeight="1" x14ac:dyDescent="0.2">
      <c r="A13" s="6"/>
      <c r="B13" s="70"/>
      <c r="C13" s="69"/>
      <c r="D13" s="54"/>
      <c r="E13" s="68"/>
      <c r="F13" s="5"/>
      <c r="G13" s="5"/>
      <c r="H13" s="5"/>
      <c r="I13" s="24"/>
      <c r="J13" s="24"/>
      <c r="K13" s="24"/>
      <c r="L13" s="31"/>
      <c r="M13" s="58"/>
    </row>
    <row r="14" spans="1:14" ht="60" customHeight="1" x14ac:dyDescent="0.2">
      <c r="A14" s="6"/>
      <c r="B14" s="70"/>
      <c r="C14" s="69"/>
      <c r="D14" s="54"/>
      <c r="E14" s="68"/>
      <c r="F14" s="5"/>
      <c r="G14" s="5"/>
      <c r="H14" s="5"/>
      <c r="I14" s="24"/>
      <c r="J14" s="24"/>
      <c r="K14" s="24"/>
      <c r="L14" s="31"/>
      <c r="M14" s="58"/>
    </row>
    <row r="15" spans="1:14" ht="60" customHeight="1" x14ac:dyDescent="0.2">
      <c r="A15" s="6"/>
      <c r="B15" s="21"/>
      <c r="C15" s="46"/>
      <c r="D15" s="33"/>
      <c r="E15" s="32"/>
      <c r="F15" s="41"/>
      <c r="G15" s="5"/>
      <c r="H15" s="5"/>
      <c r="I15" s="24"/>
      <c r="J15" s="24"/>
      <c r="K15" s="24"/>
      <c r="L15" s="31"/>
      <c r="M15" s="31"/>
    </row>
    <row r="16" spans="1:14" ht="45.75" customHeight="1" x14ac:dyDescent="0.2">
      <c r="A16" s="6"/>
      <c r="B16" s="34"/>
      <c r="C16" s="44"/>
      <c r="D16" s="33"/>
      <c r="E16" s="22"/>
      <c r="F16" s="5"/>
      <c r="G16" s="5"/>
      <c r="H16" s="5"/>
      <c r="I16" s="24"/>
      <c r="J16" s="24"/>
      <c r="K16" s="24"/>
      <c r="L16" s="31"/>
      <c r="M16" s="31"/>
    </row>
    <row r="17" spans="1:12" ht="39.75" customHeight="1" x14ac:dyDescent="0.2">
      <c r="A17" s="6">
        <v>34</v>
      </c>
      <c r="B17" s="4"/>
      <c r="C17" s="5"/>
      <c r="D17" s="5"/>
      <c r="E17" s="9"/>
      <c r="F17" s="5"/>
      <c r="G17" s="5"/>
      <c r="H17" s="5"/>
      <c r="I17" s="24"/>
      <c r="J17" s="24"/>
      <c r="K17" s="13"/>
      <c r="L17" s="58">
        <f t="shared" ref="L17:L49" ca="1" si="1">J17-L$5</f>
        <v>-45864</v>
      </c>
    </row>
    <row r="18" spans="1:12" ht="21.75" customHeight="1" x14ac:dyDescent="0.2">
      <c r="A18" s="6">
        <v>35</v>
      </c>
      <c r="B18" s="4"/>
      <c r="C18" s="5"/>
      <c r="D18" s="5"/>
      <c r="E18" s="9"/>
      <c r="F18" s="5"/>
      <c r="G18" s="5"/>
      <c r="H18" s="5"/>
      <c r="I18" s="24"/>
      <c r="J18" s="24"/>
      <c r="K18" s="13"/>
      <c r="L18" s="58">
        <f t="shared" ca="1" si="1"/>
        <v>-45864</v>
      </c>
    </row>
    <row r="19" spans="1:12" ht="21.75" customHeight="1" x14ac:dyDescent="0.2">
      <c r="A19" s="6">
        <v>36</v>
      </c>
      <c r="B19" s="4"/>
      <c r="C19" s="5"/>
      <c r="D19" s="64"/>
      <c r="E19" s="9"/>
      <c r="F19" s="5"/>
      <c r="G19" s="5"/>
      <c r="H19" s="5"/>
      <c r="I19" s="24"/>
      <c r="J19" s="24"/>
      <c r="K19" s="13"/>
      <c r="L19" s="31">
        <f t="shared" ca="1" si="1"/>
        <v>-45864</v>
      </c>
    </row>
    <row r="20" spans="1:12" ht="21.75" customHeight="1" x14ac:dyDescent="0.2">
      <c r="A20" s="6">
        <v>37</v>
      </c>
      <c r="B20" s="4"/>
      <c r="C20" s="5"/>
      <c r="D20" s="5"/>
      <c r="E20" s="9"/>
      <c r="F20" s="5"/>
      <c r="G20" s="5"/>
      <c r="H20" s="5"/>
      <c r="I20" s="24"/>
      <c r="J20" s="24"/>
      <c r="K20" s="13"/>
      <c r="L20" s="31">
        <f t="shared" ca="1" si="1"/>
        <v>-45864</v>
      </c>
    </row>
    <row r="21" spans="1:12" ht="24" customHeight="1" x14ac:dyDescent="0.2">
      <c r="A21" s="6">
        <v>38</v>
      </c>
      <c r="B21" s="4"/>
      <c r="C21" s="5"/>
      <c r="D21" s="5"/>
      <c r="E21" s="9"/>
      <c r="F21" s="5"/>
      <c r="G21" s="5"/>
      <c r="H21" s="5"/>
      <c r="I21" s="24"/>
      <c r="J21" s="24"/>
      <c r="K21" s="13"/>
      <c r="L21" s="58">
        <f t="shared" ca="1" si="1"/>
        <v>-45864</v>
      </c>
    </row>
    <row r="22" spans="1:12" ht="38.25" customHeight="1" x14ac:dyDescent="0.2">
      <c r="A22" s="6">
        <v>39</v>
      </c>
      <c r="B22" s="4"/>
      <c r="C22" s="5"/>
      <c r="D22" s="5"/>
      <c r="E22" s="9"/>
      <c r="F22" s="49"/>
      <c r="G22" s="5"/>
      <c r="H22" s="5"/>
      <c r="I22" s="24"/>
      <c r="J22" s="24"/>
      <c r="K22" s="13"/>
      <c r="L22" s="31">
        <f t="shared" ca="1" si="1"/>
        <v>-45864</v>
      </c>
    </row>
    <row r="23" spans="1:12" ht="38.25" customHeight="1" x14ac:dyDescent="0.2">
      <c r="A23" s="6">
        <v>40</v>
      </c>
      <c r="B23" s="4"/>
      <c r="C23" s="5"/>
      <c r="D23" s="5"/>
      <c r="E23" s="9"/>
      <c r="F23" s="49"/>
      <c r="G23" s="5"/>
      <c r="H23" s="5"/>
      <c r="I23" s="24"/>
      <c r="J23" s="24"/>
      <c r="K23" s="13"/>
      <c r="L23" s="31">
        <f t="shared" ca="1" si="1"/>
        <v>-45864</v>
      </c>
    </row>
    <row r="24" spans="1:12" ht="38.25" customHeight="1" x14ac:dyDescent="0.2">
      <c r="A24" s="6">
        <v>41</v>
      </c>
      <c r="B24" s="4"/>
      <c r="C24" s="5"/>
      <c r="D24" s="5"/>
      <c r="E24" s="9"/>
      <c r="F24" s="49"/>
      <c r="G24" s="5"/>
      <c r="H24" s="5"/>
      <c r="I24" s="24"/>
      <c r="J24" s="24"/>
      <c r="K24" s="13"/>
      <c r="L24" s="31">
        <f t="shared" ca="1" si="1"/>
        <v>-45864</v>
      </c>
    </row>
    <row r="25" spans="1:12" ht="34.5" customHeight="1" x14ac:dyDescent="0.2">
      <c r="A25" s="6">
        <v>42</v>
      </c>
      <c r="B25" s="4"/>
      <c r="C25" s="5"/>
      <c r="D25" s="5"/>
      <c r="E25" s="9"/>
      <c r="F25" s="5"/>
      <c r="G25" s="5"/>
      <c r="H25" s="5"/>
      <c r="I25" s="24"/>
      <c r="J25" s="24"/>
      <c r="K25" s="13"/>
      <c r="L25" s="31">
        <f t="shared" ca="1" si="1"/>
        <v>-45864</v>
      </c>
    </row>
    <row r="26" spans="1:12" ht="36" customHeight="1" x14ac:dyDescent="0.2">
      <c r="A26" s="6">
        <v>43</v>
      </c>
      <c r="B26" s="4"/>
      <c r="C26" s="5"/>
      <c r="D26" s="5"/>
      <c r="E26" s="9"/>
      <c r="F26" s="5"/>
      <c r="G26" s="5"/>
      <c r="H26" s="5"/>
      <c r="I26" s="24"/>
      <c r="J26" s="24"/>
      <c r="K26" s="13"/>
      <c r="L26" s="58">
        <f t="shared" ca="1" si="1"/>
        <v>-45864</v>
      </c>
    </row>
    <row r="27" spans="1:12" ht="24" customHeight="1" x14ac:dyDescent="0.2">
      <c r="A27" s="6">
        <v>44</v>
      </c>
      <c r="B27" s="4"/>
      <c r="C27" s="5"/>
      <c r="D27" s="5"/>
      <c r="E27" s="9"/>
      <c r="F27" s="5"/>
      <c r="G27" s="5"/>
      <c r="H27" s="5"/>
      <c r="I27" s="24"/>
      <c r="J27" s="24"/>
      <c r="K27" s="13"/>
      <c r="L27" s="58">
        <f t="shared" ca="1" si="1"/>
        <v>-45864</v>
      </c>
    </row>
    <row r="28" spans="1:12" ht="24" customHeight="1" x14ac:dyDescent="0.2">
      <c r="A28" s="6">
        <v>45</v>
      </c>
      <c r="B28" s="4"/>
      <c r="C28" s="5"/>
      <c r="D28" s="5"/>
      <c r="E28" s="9"/>
      <c r="F28" s="5"/>
      <c r="G28" s="5"/>
      <c r="H28" s="5"/>
      <c r="I28" s="24"/>
      <c r="J28" s="24"/>
      <c r="K28" s="13"/>
      <c r="L28" s="58">
        <f t="shared" ca="1" si="1"/>
        <v>-45864</v>
      </c>
    </row>
    <row r="29" spans="1:12" ht="24" customHeight="1" x14ac:dyDescent="0.2">
      <c r="A29" s="6">
        <v>46</v>
      </c>
      <c r="B29" s="4"/>
      <c r="C29" s="5"/>
      <c r="D29" s="5"/>
      <c r="E29" s="9"/>
      <c r="F29" s="5"/>
      <c r="G29" s="5"/>
      <c r="H29" s="5"/>
      <c r="I29" s="24"/>
      <c r="J29" s="24"/>
      <c r="K29" s="13"/>
      <c r="L29" s="31">
        <f t="shared" ca="1" si="1"/>
        <v>-45864</v>
      </c>
    </row>
    <row r="30" spans="1:12" ht="24" customHeight="1" x14ac:dyDescent="0.2">
      <c r="A30" s="6"/>
      <c r="B30" s="4"/>
      <c r="C30" s="5"/>
      <c r="D30" s="5"/>
      <c r="E30" s="9"/>
      <c r="F30" s="5"/>
      <c r="G30" s="5"/>
      <c r="H30" s="5"/>
      <c r="I30" s="24"/>
      <c r="J30" s="24"/>
      <c r="K30" s="13"/>
      <c r="L30" s="31">
        <f t="shared" ca="1" si="1"/>
        <v>-45864</v>
      </c>
    </row>
    <row r="31" spans="1:12" ht="24" customHeight="1" x14ac:dyDescent="0.2">
      <c r="A31" s="6"/>
      <c r="B31" s="4"/>
      <c r="C31" s="5"/>
      <c r="D31" s="5"/>
      <c r="E31" s="9"/>
      <c r="F31" s="5"/>
      <c r="G31" s="5"/>
      <c r="H31" s="5"/>
      <c r="I31" s="24"/>
      <c r="J31" s="24"/>
      <c r="K31" s="13"/>
      <c r="L31" s="31">
        <f t="shared" ca="1" si="1"/>
        <v>-45864</v>
      </c>
    </row>
    <row r="32" spans="1:12" ht="24" customHeight="1" x14ac:dyDescent="0.2">
      <c r="A32" s="71"/>
      <c r="B32" s="72"/>
      <c r="C32" s="73"/>
      <c r="D32" s="73"/>
      <c r="E32" s="74"/>
      <c r="F32" s="73"/>
      <c r="G32" s="73"/>
      <c r="H32" s="73"/>
      <c r="I32" s="75"/>
      <c r="J32" s="75"/>
      <c r="K32" s="76"/>
      <c r="L32" s="31">
        <f t="shared" ca="1" si="1"/>
        <v>-45864</v>
      </c>
    </row>
    <row r="33" spans="1:12" ht="24" customHeight="1" x14ac:dyDescent="0.2">
      <c r="A33" s="6">
        <v>50</v>
      </c>
      <c r="B33" s="5"/>
      <c r="C33" s="5"/>
      <c r="D33" s="5"/>
      <c r="E33" s="9"/>
      <c r="F33" s="5"/>
      <c r="G33" s="5"/>
      <c r="H33" s="5"/>
      <c r="I33" s="24"/>
      <c r="J33" s="24"/>
      <c r="K33" s="13"/>
      <c r="L33" s="31">
        <f t="shared" ca="1" si="1"/>
        <v>-45864</v>
      </c>
    </row>
    <row r="34" spans="1:12" ht="24" customHeight="1" x14ac:dyDescent="0.2">
      <c r="A34" s="6">
        <v>51</v>
      </c>
      <c r="B34" s="4"/>
      <c r="C34" s="5"/>
      <c r="D34" s="5"/>
      <c r="E34" s="9"/>
      <c r="F34" s="5"/>
      <c r="G34" s="5"/>
      <c r="H34" s="5"/>
      <c r="I34" s="24"/>
      <c r="J34" s="24"/>
      <c r="K34" s="13"/>
      <c r="L34" s="58">
        <f t="shared" ca="1" si="1"/>
        <v>-45864</v>
      </c>
    </row>
    <row r="35" spans="1:12" ht="24" customHeight="1" x14ac:dyDescent="0.2">
      <c r="A35" s="6"/>
      <c r="B35" s="5"/>
      <c r="C35" s="5"/>
      <c r="D35" s="5"/>
      <c r="E35" s="9"/>
      <c r="F35" s="5"/>
      <c r="G35" s="5"/>
      <c r="H35" s="5"/>
      <c r="I35" s="24"/>
      <c r="J35" s="24"/>
      <c r="K35" s="13"/>
      <c r="L35" s="31">
        <f t="shared" ca="1" si="1"/>
        <v>-45864</v>
      </c>
    </row>
    <row r="36" spans="1:12" ht="24" customHeight="1" x14ac:dyDescent="0.2">
      <c r="A36" s="6"/>
      <c r="B36" s="5"/>
      <c r="C36" s="5"/>
      <c r="D36" s="5"/>
      <c r="E36" s="9"/>
      <c r="F36" s="5"/>
      <c r="G36" s="5"/>
      <c r="H36" s="5"/>
      <c r="I36" s="24"/>
      <c r="J36" s="24"/>
      <c r="K36" s="13"/>
      <c r="L36" s="31">
        <f t="shared" ca="1" si="1"/>
        <v>-45864</v>
      </c>
    </row>
    <row r="37" spans="1:12" ht="24" customHeight="1" x14ac:dyDescent="0.2">
      <c r="A37" s="6"/>
      <c r="B37" s="5"/>
      <c r="C37" s="5"/>
      <c r="D37" s="5"/>
      <c r="E37" s="9"/>
      <c r="F37" s="5"/>
      <c r="G37" s="5"/>
      <c r="H37" s="5"/>
      <c r="I37" s="24"/>
      <c r="J37" s="24"/>
      <c r="K37" s="13"/>
      <c r="L37" s="31">
        <f t="shared" ca="1" si="1"/>
        <v>-45864</v>
      </c>
    </row>
    <row r="38" spans="1:12" ht="24" customHeight="1" x14ac:dyDescent="0.2">
      <c r="A38" s="6"/>
      <c r="B38" s="5"/>
      <c r="C38" s="5"/>
      <c r="D38" s="5"/>
      <c r="E38" s="9"/>
      <c r="F38" s="5"/>
      <c r="G38" s="5"/>
      <c r="H38" s="5"/>
      <c r="I38" s="24"/>
      <c r="J38" s="24"/>
      <c r="K38" s="13"/>
      <c r="L38" s="31">
        <f t="shared" ca="1" si="1"/>
        <v>-45864</v>
      </c>
    </row>
    <row r="39" spans="1:12" ht="24" customHeight="1" x14ac:dyDescent="0.2">
      <c r="A39" s="6"/>
      <c r="B39" s="5"/>
      <c r="C39" s="5"/>
      <c r="D39" s="5"/>
      <c r="E39" s="9"/>
      <c r="F39" s="5"/>
      <c r="G39" s="5"/>
      <c r="H39" s="5"/>
      <c r="I39" s="24"/>
      <c r="J39" s="24"/>
      <c r="K39" s="13"/>
      <c r="L39" s="31">
        <f t="shared" ca="1" si="1"/>
        <v>-45864</v>
      </c>
    </row>
    <row r="40" spans="1:12" ht="24" customHeight="1" x14ac:dyDescent="0.2">
      <c r="A40" s="6"/>
      <c r="B40" s="5"/>
      <c r="C40" s="5"/>
      <c r="D40" s="5"/>
      <c r="E40" s="9"/>
      <c r="F40" s="5"/>
      <c r="G40" s="5"/>
      <c r="H40" s="5"/>
      <c r="I40" s="24"/>
      <c r="J40" s="24"/>
      <c r="K40" s="13"/>
      <c r="L40" s="31">
        <f t="shared" ca="1" si="1"/>
        <v>-45864</v>
      </c>
    </row>
    <row r="41" spans="1:12" ht="24" customHeight="1" x14ac:dyDescent="0.2">
      <c r="A41" s="6"/>
      <c r="B41" s="5"/>
      <c r="C41" s="5"/>
      <c r="D41" s="5"/>
      <c r="E41" s="9"/>
      <c r="F41" s="5"/>
      <c r="G41" s="5"/>
      <c r="H41" s="5"/>
      <c r="I41" s="24"/>
      <c r="J41" s="24"/>
      <c r="K41" s="13"/>
      <c r="L41" s="31">
        <f t="shared" ca="1" si="1"/>
        <v>-45864</v>
      </c>
    </row>
    <row r="42" spans="1:12" ht="24" customHeight="1" x14ac:dyDescent="0.2">
      <c r="A42" s="6"/>
      <c r="B42" s="5"/>
      <c r="C42" s="5"/>
      <c r="D42" s="5"/>
      <c r="E42" s="9"/>
      <c r="F42" s="5"/>
      <c r="G42" s="5"/>
      <c r="H42" s="5"/>
      <c r="I42" s="24"/>
      <c r="J42" s="24"/>
      <c r="K42" s="13"/>
      <c r="L42" s="31">
        <f t="shared" ca="1" si="1"/>
        <v>-45864</v>
      </c>
    </row>
    <row r="43" spans="1:12" ht="24" customHeight="1" x14ac:dyDescent="0.2">
      <c r="A43" s="6"/>
      <c r="B43" s="5"/>
      <c r="C43" s="5"/>
      <c r="D43" s="5"/>
      <c r="E43" s="9"/>
      <c r="F43" s="5"/>
      <c r="G43" s="5"/>
      <c r="H43" s="5"/>
      <c r="I43" s="24"/>
      <c r="J43" s="24"/>
      <c r="K43" s="13"/>
      <c r="L43" s="58">
        <f t="shared" ca="1" si="1"/>
        <v>-45864</v>
      </c>
    </row>
    <row r="44" spans="1:12" ht="24" customHeight="1" x14ac:dyDescent="0.2">
      <c r="A44" s="6"/>
      <c r="B44" s="5"/>
      <c r="C44" s="5"/>
      <c r="D44" s="5"/>
      <c r="E44" s="9"/>
      <c r="F44" s="5"/>
      <c r="G44" s="5"/>
      <c r="H44" s="5"/>
      <c r="I44" s="24"/>
      <c r="J44" s="24"/>
      <c r="K44" s="13"/>
      <c r="L44" s="58">
        <f t="shared" ca="1" si="1"/>
        <v>-45864</v>
      </c>
    </row>
    <row r="45" spans="1:12" ht="24" customHeight="1" x14ac:dyDescent="0.2">
      <c r="A45" s="6">
        <v>62</v>
      </c>
      <c r="B45" s="5"/>
      <c r="C45" s="5"/>
      <c r="D45" s="5"/>
      <c r="E45" s="9"/>
      <c r="F45" s="5"/>
      <c r="G45" s="5"/>
      <c r="H45" s="5"/>
      <c r="I45" s="24"/>
      <c r="J45" s="24"/>
      <c r="K45" s="13"/>
      <c r="L45" s="58">
        <f t="shared" ca="1" si="1"/>
        <v>-45864</v>
      </c>
    </row>
    <row r="46" spans="1:12" ht="24" customHeight="1" x14ac:dyDescent="0.2">
      <c r="A46" s="6">
        <v>63</v>
      </c>
      <c r="B46" s="5"/>
      <c r="C46" s="5"/>
      <c r="D46" s="5"/>
      <c r="E46" s="9"/>
      <c r="F46" s="5"/>
      <c r="G46" s="5"/>
      <c r="H46" s="5"/>
      <c r="I46" s="24"/>
      <c r="J46" s="24"/>
      <c r="K46" s="13"/>
      <c r="L46" s="58">
        <f t="shared" ca="1" si="1"/>
        <v>-45864</v>
      </c>
    </row>
    <row r="47" spans="1:12" ht="24" customHeight="1" x14ac:dyDescent="0.2">
      <c r="A47" s="6"/>
      <c r="B47" s="5"/>
      <c r="C47" s="5"/>
      <c r="D47" s="5"/>
      <c r="E47" s="9"/>
      <c r="F47" s="5"/>
      <c r="G47" s="5"/>
      <c r="H47" s="5"/>
      <c r="I47" s="24"/>
      <c r="J47" s="24"/>
      <c r="K47" s="13"/>
      <c r="L47" s="31">
        <f t="shared" ca="1" si="1"/>
        <v>-45864</v>
      </c>
    </row>
    <row r="48" spans="1:12" ht="24" customHeight="1" x14ac:dyDescent="0.2">
      <c r="A48" s="6"/>
      <c r="B48" s="5"/>
      <c r="C48" s="5"/>
      <c r="D48" s="5"/>
      <c r="E48" s="9"/>
      <c r="F48" s="5"/>
      <c r="G48" s="5"/>
      <c r="H48" s="5"/>
      <c r="I48" s="24"/>
      <c r="J48" s="24"/>
      <c r="K48" s="13"/>
      <c r="L48" s="31">
        <f t="shared" ca="1" si="1"/>
        <v>-45864</v>
      </c>
    </row>
    <row r="49" spans="1:12" ht="24" customHeight="1" x14ac:dyDescent="0.2">
      <c r="A49" s="6"/>
      <c r="B49" s="4"/>
      <c r="C49" s="4"/>
      <c r="D49" s="5"/>
      <c r="E49" s="9"/>
      <c r="F49" s="5"/>
      <c r="G49" s="5"/>
      <c r="H49" s="5"/>
      <c r="I49" s="18"/>
      <c r="J49" s="18"/>
      <c r="K49" s="12"/>
      <c r="L49" s="31">
        <f t="shared" ca="1" si="1"/>
        <v>-45864</v>
      </c>
    </row>
  </sheetData>
  <mergeCells count="5">
    <mergeCell ref="A8:K8"/>
    <mergeCell ref="A2:K2"/>
    <mergeCell ref="B4:C4"/>
    <mergeCell ref="D4:K4"/>
    <mergeCell ref="A7:K7"/>
  </mergeCells>
  <printOptions horizontalCentered="1"/>
  <pageMargins left="0.27559055118110237" right="0.35433070866141736" top="0.19685039370078741" bottom="0.55118110236220474" header="0.19685039370078741" footer="0.15748031496062992"/>
  <pageSetup scale="75" orientation="landscape" r:id="rId1"/>
  <headerFooter>
    <oddFooter>&amp;LPágina &amp;P de &amp;N&amp;R&amp;"Arial,Negrita Cursiva"&amp;8FCG-002
Revisión: "3"
Fecha: 03/2017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12</vt:i4>
      </vt:variant>
    </vt:vector>
  </HeadingPairs>
  <TitlesOfParts>
    <vt:vector size="18" baseType="lpstr">
      <vt:lpstr> EQUIPOS </vt:lpstr>
      <vt:lpstr>HERRAMIENTAS</vt:lpstr>
      <vt:lpstr> MAQUINARIA PESADA</vt:lpstr>
      <vt:lpstr> EXTINTORES</vt:lpstr>
      <vt:lpstr>Certificado vencido</vt:lpstr>
      <vt:lpstr> por certificar junio</vt:lpstr>
      <vt:lpstr>' EQUIPOS '!Área_de_impresión</vt:lpstr>
      <vt:lpstr>' EXTINTORES'!Área_de_impresión</vt:lpstr>
      <vt:lpstr>' MAQUINARIA PESADA'!Área_de_impresión</vt:lpstr>
      <vt:lpstr>' por certificar junio'!Área_de_impresión</vt:lpstr>
      <vt:lpstr>'Certificado vencido'!Área_de_impresión</vt:lpstr>
      <vt:lpstr>HERRAMIENTAS!Área_de_impresión</vt:lpstr>
      <vt:lpstr>' EQUIPOS '!Títulos_a_imprimir</vt:lpstr>
      <vt:lpstr>' EXTINTORES'!Títulos_a_imprimir</vt:lpstr>
      <vt:lpstr>' MAQUINARIA PESADA'!Títulos_a_imprimir</vt:lpstr>
      <vt:lpstr>' por certificar junio'!Títulos_a_imprimir</vt:lpstr>
      <vt:lpstr>'Certificado vencido'!Títulos_a_imprimir</vt:lpstr>
      <vt:lpstr>HERRAMIENTAS!Títulos_a_imprimir</vt:lpstr>
    </vt:vector>
  </TitlesOfParts>
  <Company>CONSTRUCTORA HERMANOS FURLANETTO, C.A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Este Documento NO debe ser modificado, sin previa autorización de Gestión de la Calidad</dc:title>
  <dc:subject>FORMULARIO</dc:subject>
  <dc:creator>Gestión de la Calidad</dc:creator>
  <cp:lastModifiedBy>Usuario</cp:lastModifiedBy>
  <cp:lastPrinted>2025-04-03T17:57:13Z</cp:lastPrinted>
  <dcterms:created xsi:type="dcterms:W3CDTF">2008-05-16T16:21:18Z</dcterms:created>
  <dcterms:modified xsi:type="dcterms:W3CDTF">2025-07-26T17:24:18Z</dcterms:modified>
</cp:coreProperties>
</file>